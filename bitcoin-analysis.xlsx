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840\Downloads\"/>
    </mc:Choice>
  </mc:AlternateContent>
  <xr:revisionPtr revIDLastSave="0" documentId="13_ncr:1_{833D3564-17C2-4B5C-A0BE-9E1A9CFADC1B}" xr6:coauthVersionLast="47" xr6:coauthVersionMax="47" xr10:uidLastSave="{00000000-0000-0000-0000-000000000000}"/>
  <bookViews>
    <workbookView xWindow="-120" yWindow="-120" windowWidth="24240" windowHeight="13140" activeTab="4" xr2:uid="{505E9433-8B32-FE41-95DA-0DD801D10BA0}"/>
  </bookViews>
  <sheets>
    <sheet name="data" sheetId="2" r:id="rId1"/>
    <sheet name="Upside" sheetId="1" r:id="rId2"/>
    <sheet name="Spread" sheetId="3" state="hidden" r:id="rId3"/>
    <sheet name="Monthly Average" sheetId="4" r:id="rId4"/>
    <sheet name="Daily high" sheetId="5" r:id="rId5"/>
  </sheets>
  <definedNames>
    <definedName name="_xlcn.WorksheetConnection_bitcoinanalysis.xlsxdataOpenColumn31" hidden="1">data[[Open]:[Cleaned Month]]</definedName>
    <definedName name="ExternalData_1" localSheetId="0" hidden="1">data!$A$1:$H$615</definedName>
  </definedNames>
  <calcPr calcId="191029"/>
  <pivotCaches>
    <pivotCache cacheId="100" r:id="rId6"/>
    <pivotCache cacheId="11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  Open   Column3" name="data  Open   Column3" connection="WorksheetConnection_bitcoin-analysis.xlsx!data[[Open]:[Column3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6" i="2" l="1"/>
  <c r="J257" i="2"/>
  <c r="J260" i="2"/>
  <c r="J261" i="2"/>
  <c r="J264" i="2"/>
  <c r="J265" i="2"/>
  <c r="J269" i="2"/>
  <c r="J272" i="2"/>
  <c r="J273" i="2"/>
  <c r="J277" i="2"/>
  <c r="J280" i="2"/>
  <c r="J281" i="2"/>
  <c r="J288" i="2"/>
  <c r="J289" i="2"/>
  <c r="J292" i="2"/>
  <c r="J293" i="2"/>
  <c r="J296" i="2"/>
  <c r="J297" i="2"/>
  <c r="J300" i="2"/>
  <c r="J301" i="2"/>
  <c r="J304" i="2"/>
  <c r="J305" i="2"/>
  <c r="J309" i="2"/>
  <c r="J312" i="2"/>
  <c r="J313" i="2"/>
  <c r="J317" i="2"/>
  <c r="J320" i="2"/>
  <c r="J321" i="2"/>
  <c r="J324" i="2"/>
  <c r="J325" i="2"/>
  <c r="J329" i="2"/>
  <c r="J332" i="2"/>
  <c r="J333" i="2"/>
  <c r="J336" i="2"/>
  <c r="J337" i="2"/>
  <c r="J340" i="2"/>
  <c r="J341" i="2"/>
  <c r="J345" i="2"/>
  <c r="J349" i="2"/>
  <c r="J352" i="2"/>
  <c r="J353" i="2"/>
  <c r="J356" i="2"/>
  <c r="J357" i="2"/>
  <c r="J360" i="2"/>
  <c r="J361" i="2"/>
  <c r="J364" i="2"/>
  <c r="J368" i="2"/>
  <c r="J369" i="2"/>
  <c r="J372" i="2"/>
  <c r="J373" i="2"/>
  <c r="J377" i="2"/>
  <c r="J380" i="2"/>
  <c r="J381" i="2"/>
  <c r="J385" i="2"/>
  <c r="J388" i="2"/>
  <c r="J389" i="2"/>
  <c r="J393" i="2"/>
  <c r="J396" i="2"/>
  <c r="J397" i="2"/>
  <c r="J400" i="2"/>
  <c r="J401" i="2"/>
  <c r="J404" i="2"/>
  <c r="J405" i="2"/>
  <c r="J412" i="2"/>
  <c r="J413" i="2"/>
  <c r="J416" i="2"/>
  <c r="J417" i="2"/>
  <c r="J421" i="2"/>
  <c r="J424" i="2"/>
  <c r="J425" i="2"/>
  <c r="J428" i="2"/>
  <c r="J429" i="2"/>
  <c r="J433" i="2"/>
  <c r="J437" i="2"/>
  <c r="J440" i="2"/>
  <c r="J441" i="2"/>
  <c r="J445" i="2"/>
  <c r="J448" i="2"/>
  <c r="J449" i="2"/>
  <c r="J452" i="2"/>
  <c r="J453" i="2"/>
  <c r="J456" i="2"/>
  <c r="J457" i="2"/>
  <c r="J461" i="2"/>
  <c r="J464" i="2"/>
  <c r="J465" i="2"/>
  <c r="J468" i="2"/>
  <c r="J469" i="2"/>
  <c r="J473" i="2"/>
  <c r="J476" i="2"/>
  <c r="J477" i="2"/>
  <c r="J480" i="2"/>
  <c r="J481" i="2"/>
  <c r="J484" i="2"/>
  <c r="J485" i="2"/>
  <c r="J489" i="2"/>
  <c r="J492" i="2"/>
  <c r="J493" i="2"/>
  <c r="J496" i="2"/>
  <c r="J497" i="2"/>
  <c r="J501" i="2"/>
  <c r="J504" i="2"/>
  <c r="J505" i="2"/>
  <c r="J509" i="2"/>
  <c r="J512" i="2"/>
  <c r="J513" i="2"/>
  <c r="J516" i="2"/>
  <c r="J517" i="2"/>
  <c r="J521" i="2"/>
  <c r="J524" i="2"/>
  <c r="J525" i="2"/>
  <c r="J528" i="2"/>
  <c r="J529" i="2"/>
  <c r="J532" i="2"/>
  <c r="J533" i="2"/>
  <c r="J536" i="2"/>
  <c r="J537" i="2"/>
  <c r="J540" i="2"/>
  <c r="J541" i="2"/>
  <c r="J544" i="2"/>
  <c r="J545" i="2"/>
  <c r="J549" i="2"/>
  <c r="J553" i="2"/>
  <c r="J560" i="2"/>
  <c r="J561" i="2"/>
  <c r="J564" i="2"/>
  <c r="J568" i="2"/>
  <c r="J569" i="2"/>
  <c r="J572" i="2"/>
  <c r="J573" i="2"/>
  <c r="J576" i="2"/>
  <c r="J577" i="2"/>
  <c r="J580" i="2"/>
  <c r="J581" i="2"/>
  <c r="J584" i="2"/>
  <c r="J585" i="2"/>
  <c r="J588" i="2"/>
  <c r="J589" i="2"/>
  <c r="J592" i="2"/>
  <c r="J593" i="2"/>
  <c r="J596" i="2"/>
  <c r="J597" i="2"/>
  <c r="J601" i="2"/>
  <c r="J604" i="2"/>
  <c r="J605" i="2"/>
  <c r="J608" i="2"/>
  <c r="J609" i="2"/>
  <c r="J612" i="2"/>
  <c r="J613" i="2"/>
  <c r="F6" i="3"/>
  <c r="F5" i="3"/>
  <c r="E5" i="1"/>
  <c r="E4" i="1"/>
  <c r="I254" i="2"/>
  <c r="I262" i="2"/>
  <c r="I312" i="2"/>
  <c r="I339" i="2"/>
  <c r="I355" i="2"/>
  <c r="I362" i="2"/>
  <c r="I300" i="2"/>
  <c r="I264" i="2"/>
  <c r="I285" i="2"/>
  <c r="I296" i="2"/>
  <c r="I345" i="2"/>
  <c r="I320" i="2"/>
  <c r="I334" i="2"/>
  <c r="I313" i="2"/>
  <c r="I325" i="2"/>
  <c r="I330" i="2"/>
  <c r="I305" i="2"/>
  <c r="I256" i="2"/>
  <c r="I265" i="2"/>
  <c r="I277" i="2"/>
  <c r="I268" i="2"/>
  <c r="I278" i="2"/>
  <c r="I266" i="2"/>
  <c r="I258" i="2"/>
  <c r="I267" i="2"/>
  <c r="I282" i="2"/>
  <c r="I302" i="2"/>
  <c r="I286" i="2"/>
  <c r="I301" i="2"/>
  <c r="I310" i="2"/>
  <c r="I336" i="2"/>
  <c r="I340" i="2"/>
  <c r="I346" i="2"/>
  <c r="I360" i="2"/>
  <c r="I352" i="2"/>
  <c r="I357" i="2"/>
  <c r="I408" i="2"/>
  <c r="I392" i="2"/>
  <c r="I401" i="2"/>
  <c r="I427" i="2"/>
  <c r="I428" i="2"/>
  <c r="I420" i="2"/>
  <c r="I430" i="2"/>
  <c r="I462" i="2"/>
  <c r="I482" i="2"/>
  <c r="I494" i="2"/>
  <c r="I496" i="2"/>
  <c r="I527" i="2"/>
  <c r="I544" i="2"/>
  <c r="I447" i="2"/>
  <c r="I399" i="2"/>
  <c r="I470" i="2"/>
  <c r="I422" i="2"/>
  <c r="I396" i="2"/>
  <c r="I402" i="2"/>
  <c r="I387" i="2"/>
  <c r="I419" i="2"/>
  <c r="I449" i="2"/>
  <c r="I476" i="2"/>
  <c r="I429" i="2"/>
  <c r="I432" i="2"/>
  <c r="I450" i="2"/>
  <c r="I481" i="2"/>
  <c r="I484" i="2"/>
  <c r="I507" i="2"/>
  <c r="I506" i="2"/>
  <c r="I531" i="2"/>
  <c r="I537" i="2"/>
  <c r="I554" i="2"/>
  <c r="I579" i="2"/>
  <c r="I510" i="2"/>
  <c r="I517" i="2"/>
  <c r="I529" i="2"/>
  <c r="I552" i="2"/>
  <c r="I570" i="2"/>
  <c r="I568" i="2"/>
  <c r="I542" i="2"/>
  <c r="I520" i="2"/>
  <c r="I505" i="2"/>
  <c r="I498" i="2"/>
  <c r="I491" i="2"/>
  <c r="I501" i="2"/>
  <c r="I526" i="2"/>
  <c r="I535" i="2"/>
  <c r="I536" i="2"/>
  <c r="I562" i="2"/>
  <c r="I561" i="2"/>
  <c r="I573" i="2"/>
  <c r="I577" i="2"/>
  <c r="I557" i="2"/>
  <c r="I563" i="2"/>
  <c r="I560" i="2"/>
  <c r="I566" i="2"/>
  <c r="I541" i="2"/>
  <c r="I555" i="2"/>
  <c r="I572" i="2"/>
  <c r="I575" i="2"/>
  <c r="I582" i="2"/>
  <c r="I583" i="2"/>
  <c r="I595" i="2"/>
  <c r="I602" i="2"/>
  <c r="I607" i="2"/>
  <c r="I591" i="2"/>
  <c r="I495" i="2"/>
  <c r="I509" i="2"/>
  <c r="I518" i="2"/>
  <c r="I514" i="2"/>
  <c r="I503" i="2"/>
  <c r="I474" i="2"/>
  <c r="I454" i="2"/>
  <c r="I477" i="2"/>
  <c r="I446" i="2"/>
  <c r="I500" i="2"/>
  <c r="I512" i="2"/>
  <c r="I524" i="2"/>
  <c r="I502" i="2"/>
  <c r="I522" i="2"/>
  <c r="I556" i="2"/>
  <c r="I551" i="2"/>
  <c r="I533" i="2"/>
  <c r="I504" i="2"/>
  <c r="I508" i="2"/>
  <c r="I538" i="2"/>
  <c r="I539" i="2"/>
  <c r="I571" i="2"/>
  <c r="I553" i="2"/>
  <c r="I515" i="2"/>
  <c r="I534" i="2"/>
  <c r="I407" i="2"/>
  <c r="I444" i="2"/>
  <c r="I479" i="2"/>
  <c r="I434" i="2"/>
  <c r="I385" i="2"/>
  <c r="I381" i="2"/>
  <c r="I370" i="2"/>
  <c r="I255" i="2"/>
  <c r="I358" i="2"/>
  <c r="I308" i="2"/>
  <c r="I332" i="2"/>
  <c r="I271" i="2"/>
  <c r="I321" i="2"/>
  <c r="I343" i="2"/>
  <c r="I347" i="2"/>
  <c r="I349" i="2"/>
  <c r="I323" i="2"/>
  <c r="I306" i="2"/>
  <c r="I319" i="2"/>
  <c r="I317" i="2"/>
  <c r="I337" i="2"/>
  <c r="I342" i="2"/>
  <c r="I351" i="2"/>
  <c r="I335" i="2"/>
  <c r="I327" i="2"/>
  <c r="I331" i="2"/>
  <c r="I290" i="2"/>
  <c r="I269" i="2"/>
  <c r="I291" i="2"/>
  <c r="I338" i="2"/>
  <c r="I333" i="2"/>
  <c r="I324" i="2"/>
  <c r="I326" i="2"/>
  <c r="I364" i="2"/>
  <c r="I367" i="2"/>
  <c r="I356" i="2"/>
  <c r="I348" i="2"/>
  <c r="I328" i="2"/>
  <c r="I329" i="2"/>
  <c r="I304" i="2"/>
  <c r="I274" i="2"/>
  <c r="I257" i="2"/>
  <c r="I288" i="2"/>
  <c r="I287" i="2"/>
  <c r="I276" i="2"/>
  <c r="I263" i="2"/>
  <c r="I289" i="2"/>
  <c r="I314" i="2"/>
  <c r="I322" i="2"/>
  <c r="I316" i="2"/>
  <c r="I295" i="2"/>
  <c r="I294" i="2"/>
  <c r="I307" i="2"/>
  <c r="I318" i="2"/>
  <c r="I299" i="2"/>
  <c r="I309" i="2"/>
  <c r="I298" i="2"/>
  <c r="I284" i="2"/>
  <c r="I292" i="2"/>
  <c r="I297" i="2"/>
  <c r="I303" i="2"/>
  <c r="I293" i="2"/>
  <c r="I280" i="2"/>
  <c r="I279" i="2"/>
  <c r="I273" i="2"/>
  <c r="I270" i="2"/>
  <c r="I275" i="2"/>
  <c r="I272" i="2"/>
  <c r="I260" i="2"/>
  <c r="I259" i="2"/>
  <c r="I261" i="2"/>
  <c r="I281" i="2"/>
  <c r="I283" i="2"/>
  <c r="I311" i="2"/>
  <c r="I315" i="2"/>
  <c r="I341" i="2"/>
  <c r="I344" i="2"/>
  <c r="I363" i="2"/>
  <c r="I366" i="2"/>
  <c r="I359" i="2"/>
  <c r="I376" i="2"/>
  <c r="I365" i="2"/>
  <c r="I361" i="2"/>
  <c r="I354" i="2"/>
  <c r="I353" i="2"/>
  <c r="I350" i="2"/>
  <c r="I369" i="2"/>
  <c r="I382" i="2"/>
  <c r="I386" i="2"/>
  <c r="I388" i="2"/>
  <c r="I404" i="2"/>
  <c r="I412" i="2"/>
  <c r="I393" i="2"/>
  <c r="I406" i="2"/>
  <c r="I423" i="2"/>
  <c r="I414" i="2"/>
  <c r="I411" i="2"/>
  <c r="I398" i="2"/>
  <c r="I395" i="2"/>
  <c r="I394" i="2"/>
  <c r="I438" i="2"/>
  <c r="I471" i="2"/>
  <c r="I467" i="2"/>
  <c r="I478" i="2"/>
  <c r="I460" i="2"/>
  <c r="I451" i="2"/>
  <c r="I426" i="2"/>
  <c r="I437" i="2"/>
  <c r="I469" i="2"/>
  <c r="I461" i="2"/>
  <c r="I439" i="2"/>
  <c r="I435" i="2"/>
  <c r="I445" i="2"/>
  <c r="I472" i="2"/>
  <c r="I483" i="2"/>
  <c r="I485" i="2"/>
  <c r="I487" i="2"/>
  <c r="I497" i="2"/>
  <c r="I383" i="2"/>
  <c r="I400" i="2"/>
  <c r="I418" i="2"/>
  <c r="I397" i="2"/>
  <c r="I405" i="2"/>
  <c r="I403" i="2"/>
  <c r="I390" i="2"/>
  <c r="I409" i="2"/>
  <c r="I440" i="2"/>
  <c r="I448" i="2"/>
  <c r="I441" i="2"/>
  <c r="I459" i="2"/>
  <c r="I410" i="2"/>
  <c r="I371" i="2"/>
  <c r="I368" i="2"/>
  <c r="I378" i="2"/>
  <c r="I389" i="2"/>
  <c r="I372" i="2"/>
  <c r="I377" i="2"/>
  <c r="I374" i="2"/>
  <c r="I379" i="2"/>
  <c r="I373" i="2"/>
  <c r="I375" i="2"/>
  <c r="I384" i="2"/>
  <c r="I391" i="2"/>
  <c r="I452" i="2"/>
  <c r="I457" i="2"/>
  <c r="I443" i="2"/>
  <c r="I480" i="2"/>
  <c r="I492" i="2"/>
  <c r="I513" i="2"/>
  <c r="I519" i="2"/>
  <c r="I528" i="2"/>
  <c r="I532" i="2"/>
  <c r="I545" i="2"/>
  <c r="I525" i="2"/>
  <c r="I530" i="2"/>
  <c r="I559" i="2"/>
  <c r="I580" i="2"/>
  <c r="I594" i="2"/>
  <c r="I581" i="2"/>
  <c r="I589" i="2"/>
  <c r="I603" i="2"/>
  <c r="I611" i="2"/>
  <c r="I604" i="2"/>
  <c r="I590" i="2"/>
  <c r="I586" i="2"/>
  <c r="I585" i="2"/>
  <c r="I606" i="2"/>
  <c r="I588" i="2"/>
  <c r="I574" i="2"/>
  <c r="I569" i="2"/>
  <c r="I596" i="2"/>
  <c r="I598" i="2"/>
  <c r="I587" i="2"/>
  <c r="I584" i="2"/>
  <c r="I601" i="2"/>
  <c r="I592" i="2"/>
  <c r="I599" i="2"/>
  <c r="I600" i="2"/>
  <c r="I593" i="2"/>
  <c r="I605" i="2"/>
  <c r="I614" i="2"/>
  <c r="I615" i="2"/>
  <c r="I609" i="2"/>
  <c r="I613" i="2"/>
  <c r="I608" i="2"/>
  <c r="I610" i="2"/>
  <c r="I612" i="2"/>
  <c r="I597" i="2"/>
  <c r="I578" i="2"/>
  <c r="I576" i="2"/>
  <c r="I523" i="2"/>
  <c r="I546" i="2"/>
  <c r="I567" i="2"/>
  <c r="I564" i="2"/>
  <c r="I543" i="2"/>
  <c r="I540" i="2"/>
  <c r="I548" i="2"/>
  <c r="I565" i="2"/>
  <c r="I516" i="2"/>
  <c r="I521" i="2"/>
  <c r="I511" i="2"/>
  <c r="I558" i="2"/>
  <c r="I549" i="2"/>
  <c r="I547" i="2"/>
  <c r="I550" i="2"/>
  <c r="I499" i="2"/>
  <c r="I380" i="2"/>
  <c r="I464" i="2"/>
  <c r="I453" i="2"/>
  <c r="I490" i="2"/>
  <c r="I475" i="2"/>
  <c r="I456" i="2"/>
  <c r="I442" i="2"/>
  <c r="I463" i="2"/>
  <c r="I473" i="2"/>
  <c r="I416" i="2"/>
  <c r="I431" i="2"/>
  <c r="I436" i="2"/>
  <c r="I458" i="2"/>
  <c r="I413" i="2"/>
  <c r="I424" i="2"/>
  <c r="I425" i="2"/>
  <c r="I415" i="2"/>
  <c r="I465" i="2"/>
  <c r="I466" i="2"/>
  <c r="I468" i="2"/>
  <c r="I493" i="2"/>
  <c r="I489" i="2"/>
  <c r="I486" i="2"/>
  <c r="I488" i="2"/>
  <c r="I455" i="2"/>
  <c r="I421" i="2"/>
  <c r="I433" i="2"/>
  <c r="I417" i="2"/>
  <c r="I252" i="2"/>
  <c r="I253" i="2"/>
  <c r="I250" i="2"/>
  <c r="I245" i="2"/>
  <c r="I241" i="2"/>
  <c r="I244" i="2"/>
  <c r="I246" i="2"/>
  <c r="I243" i="2"/>
  <c r="I242" i="2"/>
  <c r="I248" i="2"/>
  <c r="I247" i="2"/>
  <c r="I232" i="2"/>
  <c r="I230" i="2"/>
  <c r="I234" i="2"/>
  <c r="I233" i="2"/>
  <c r="I229" i="2"/>
  <c r="I239" i="2"/>
  <c r="I240" i="2"/>
  <c r="I251" i="2"/>
  <c r="I249" i="2"/>
  <c r="I238" i="2"/>
  <c r="I236" i="2"/>
  <c r="I228" i="2"/>
  <c r="I225" i="2"/>
  <c r="I219" i="2"/>
  <c r="I217" i="2"/>
  <c r="I209" i="2"/>
  <c r="I213" i="2"/>
  <c r="I207" i="2"/>
  <c r="I203" i="2"/>
  <c r="I208" i="2"/>
  <c r="I215" i="2"/>
  <c r="I210" i="2"/>
  <c r="I223" i="2"/>
  <c r="I224" i="2"/>
  <c r="I212" i="2"/>
  <c r="I214" i="2"/>
  <c r="I231" i="2"/>
  <c r="I220" i="2"/>
  <c r="I221" i="2"/>
  <c r="I227" i="2"/>
  <c r="I237" i="2"/>
  <c r="I235" i="2"/>
  <c r="I226" i="2"/>
  <c r="I222" i="2"/>
  <c r="I218" i="2"/>
  <c r="I201" i="2"/>
  <c r="I205" i="2"/>
  <c r="I198" i="2"/>
  <c r="I196" i="2"/>
  <c r="I194" i="2"/>
  <c r="I199" i="2"/>
  <c r="I211" i="2"/>
  <c r="I202" i="2"/>
  <c r="I204" i="2"/>
  <c r="I206" i="2"/>
  <c r="I216" i="2"/>
  <c r="I197" i="2"/>
  <c r="I195" i="2"/>
  <c r="I200" i="2"/>
  <c r="I193" i="2"/>
  <c r="I192" i="2"/>
  <c r="I190" i="2"/>
  <c r="I189" i="2"/>
  <c r="I191" i="2"/>
  <c r="I188" i="2"/>
  <c r="I186" i="2"/>
  <c r="I184" i="2"/>
  <c r="I182" i="2"/>
  <c r="I181" i="2"/>
  <c r="I175" i="2"/>
  <c r="I167" i="2"/>
  <c r="I171" i="2"/>
  <c r="I180" i="2"/>
  <c r="I174" i="2"/>
  <c r="I172" i="2"/>
  <c r="I165" i="2"/>
  <c r="I164" i="2"/>
  <c r="I166" i="2"/>
  <c r="I162" i="2"/>
  <c r="I151" i="2"/>
  <c r="I163" i="2"/>
  <c r="I157" i="2"/>
  <c r="I173" i="2"/>
  <c r="I169" i="2"/>
  <c r="I160" i="2"/>
  <c r="I142" i="2"/>
  <c r="I145" i="2"/>
  <c r="I179" i="2"/>
  <c r="I183" i="2"/>
  <c r="I185" i="2"/>
  <c r="I170" i="2"/>
  <c r="I177" i="2"/>
  <c r="I178" i="2"/>
  <c r="I187" i="2"/>
  <c r="I176" i="2"/>
  <c r="I168" i="2"/>
  <c r="I156" i="2"/>
  <c r="I154" i="2"/>
  <c r="I161" i="2"/>
  <c r="I155" i="2"/>
  <c r="I152" i="2"/>
  <c r="I146" i="2"/>
  <c r="I153" i="2"/>
  <c r="I159" i="2"/>
  <c r="I147" i="2"/>
  <c r="I148" i="2"/>
  <c r="I144" i="2"/>
  <c r="I143" i="2"/>
  <c r="I140" i="2"/>
  <c r="I141" i="2"/>
  <c r="I138" i="2"/>
  <c r="I135" i="2"/>
  <c r="I139" i="2"/>
  <c r="I149" i="2"/>
  <c r="I158" i="2"/>
  <c r="I150" i="2"/>
  <c r="I137" i="2"/>
  <c r="I136" i="2"/>
  <c r="I134" i="2"/>
  <c r="I133" i="2"/>
  <c r="I132" i="2"/>
  <c r="I130" i="2"/>
  <c r="I129" i="2"/>
  <c r="I128" i="2"/>
  <c r="I125" i="2"/>
  <c r="I123" i="2"/>
  <c r="I121" i="2"/>
  <c r="I127" i="2"/>
  <c r="I116" i="2"/>
  <c r="I109" i="2"/>
  <c r="I108" i="2"/>
  <c r="I107" i="2"/>
  <c r="I119" i="2"/>
  <c r="I113" i="2"/>
  <c r="I131" i="2"/>
  <c r="I126" i="2"/>
  <c r="I122" i="2"/>
  <c r="I117" i="2"/>
  <c r="I102" i="2"/>
  <c r="I93" i="2"/>
  <c r="I98" i="2"/>
  <c r="I101" i="2"/>
  <c r="I90" i="2"/>
  <c r="I103" i="2"/>
  <c r="I94" i="2"/>
  <c r="I92" i="2"/>
  <c r="I99" i="2"/>
  <c r="I91" i="2"/>
  <c r="I86" i="2"/>
  <c r="I88" i="2"/>
  <c r="I84" i="2"/>
  <c r="I83" i="2"/>
  <c r="I80" i="2"/>
  <c r="I76" i="2"/>
  <c r="I73" i="2"/>
  <c r="I79" i="2"/>
  <c r="I82" i="2"/>
  <c r="I96" i="2"/>
  <c r="I85" i="2"/>
  <c r="I68" i="2"/>
  <c r="I67" i="2"/>
  <c r="I64" i="2"/>
  <c r="I65" i="2"/>
  <c r="I63" i="2"/>
  <c r="I55" i="2"/>
  <c r="I58" i="2"/>
  <c r="I56" i="2"/>
  <c r="I52" i="2"/>
  <c r="I53" i="2"/>
  <c r="I57" i="2"/>
  <c r="I60" i="2"/>
  <c r="I59" i="2"/>
  <c r="I61" i="2"/>
  <c r="I66" i="2"/>
  <c r="I72" i="2"/>
  <c r="I70" i="2"/>
  <c r="I71" i="2"/>
  <c r="I75" i="2"/>
  <c r="I105" i="2"/>
  <c r="I106" i="2"/>
  <c r="I97" i="2"/>
  <c r="I77" i="2"/>
  <c r="I78" i="2"/>
  <c r="I81" i="2"/>
  <c r="I95" i="2"/>
  <c r="I110" i="2"/>
  <c r="I111" i="2"/>
  <c r="I112" i="2"/>
  <c r="I124" i="2"/>
  <c r="I118" i="2"/>
  <c r="I120" i="2"/>
  <c r="I89" i="2"/>
  <c r="I104" i="2"/>
  <c r="I100" i="2"/>
  <c r="I114" i="2"/>
  <c r="I115" i="2"/>
  <c r="I87" i="2"/>
  <c r="I74" i="2"/>
  <c r="I69" i="2"/>
  <c r="I62" i="2"/>
  <c r="I54" i="2"/>
  <c r="I51" i="2"/>
  <c r="I50" i="2"/>
  <c r="I49" i="2"/>
  <c r="I44" i="2"/>
  <c r="I48" i="2"/>
  <c r="I45" i="2"/>
  <c r="I42" i="2"/>
  <c r="I40" i="2"/>
  <c r="I39" i="2"/>
  <c r="I34" i="2"/>
  <c r="I29" i="2"/>
  <c r="I10" i="2"/>
  <c r="I13" i="2"/>
  <c r="I18" i="2"/>
  <c r="I28" i="2"/>
  <c r="I33" i="2"/>
  <c r="I27" i="2"/>
  <c r="I24" i="2"/>
  <c r="I12" i="2"/>
  <c r="I21" i="2"/>
  <c r="I17" i="2"/>
  <c r="I11" i="2"/>
  <c r="I7" i="2"/>
  <c r="I22" i="2"/>
  <c r="I20" i="2"/>
  <c r="I32" i="2"/>
  <c r="I30" i="2"/>
  <c r="I38" i="2"/>
  <c r="I36" i="2"/>
  <c r="I46" i="2"/>
  <c r="I43" i="2"/>
  <c r="I41" i="2"/>
  <c r="I26" i="2"/>
  <c r="I19" i="2"/>
  <c r="I25" i="2"/>
  <c r="I14" i="2"/>
  <c r="I16" i="2"/>
  <c r="I35" i="2"/>
  <c r="I15" i="2"/>
  <c r="I9" i="2"/>
  <c r="I31" i="2"/>
  <c r="I47" i="2"/>
  <c r="I37" i="2"/>
  <c r="I23" i="2"/>
  <c r="I8" i="2"/>
  <c r="I5" i="2"/>
  <c r="I3" i="2"/>
  <c r="I4" i="2"/>
  <c r="I2" i="2"/>
  <c r="I6" i="2"/>
  <c r="J254" i="2"/>
  <c r="J262" i="2"/>
  <c r="J339" i="2"/>
  <c r="J355" i="2"/>
  <c r="J362" i="2"/>
  <c r="J285" i="2"/>
  <c r="J334" i="2"/>
  <c r="J330" i="2"/>
  <c r="J268" i="2"/>
  <c r="J278" i="2"/>
  <c r="J266" i="2"/>
  <c r="J258" i="2"/>
  <c r="J267" i="2"/>
  <c r="J282" i="2"/>
  <c r="J302" i="2"/>
  <c r="J286" i="2"/>
  <c r="J310" i="2"/>
  <c r="J346" i="2"/>
  <c r="J408" i="2"/>
  <c r="J392" i="2"/>
  <c r="J427" i="2"/>
  <c r="J420" i="2"/>
  <c r="J430" i="2"/>
  <c r="J462" i="2"/>
  <c r="J482" i="2"/>
  <c r="J494" i="2"/>
  <c r="J527" i="2"/>
  <c r="J447" i="2"/>
  <c r="J399" i="2"/>
  <c r="J470" i="2"/>
  <c r="J422" i="2"/>
  <c r="J402" i="2"/>
  <c r="J387" i="2"/>
  <c r="J419" i="2"/>
  <c r="J432" i="2"/>
  <c r="J450" i="2"/>
  <c r="J507" i="2"/>
  <c r="J506" i="2"/>
  <c r="J531" i="2"/>
  <c r="J554" i="2"/>
  <c r="J579" i="2"/>
  <c r="J510" i="2"/>
  <c r="J552" i="2"/>
  <c r="J570" i="2"/>
  <c r="J542" i="2"/>
  <c r="J520" i="2"/>
  <c r="J498" i="2"/>
  <c r="J491" i="2"/>
  <c r="J526" i="2"/>
  <c r="J535" i="2"/>
  <c r="J562" i="2"/>
  <c r="J557" i="2"/>
  <c r="J563" i="2"/>
  <c r="J566" i="2"/>
  <c r="J555" i="2"/>
  <c r="J575" i="2"/>
  <c r="J582" i="2"/>
  <c r="J583" i="2"/>
  <c r="J595" i="2"/>
  <c r="J602" i="2"/>
  <c r="J607" i="2"/>
  <c r="J591" i="2"/>
  <c r="J495" i="2"/>
  <c r="J518" i="2"/>
  <c r="J514" i="2"/>
  <c r="J503" i="2"/>
  <c r="J474" i="2"/>
  <c r="J454" i="2"/>
  <c r="J446" i="2"/>
  <c r="J500" i="2"/>
  <c r="J502" i="2"/>
  <c r="J522" i="2"/>
  <c r="J556" i="2"/>
  <c r="J551" i="2"/>
  <c r="J508" i="2"/>
  <c r="J538" i="2"/>
  <c r="J539" i="2"/>
  <c r="J571" i="2"/>
  <c r="J515" i="2"/>
  <c r="J534" i="2"/>
  <c r="J407" i="2"/>
  <c r="J444" i="2"/>
  <c r="J479" i="2"/>
  <c r="J434" i="2"/>
  <c r="J370" i="2"/>
  <c r="J255" i="2"/>
  <c r="J358" i="2"/>
  <c r="J308" i="2"/>
  <c r="J271" i="2"/>
  <c r="J343" i="2"/>
  <c r="J347" i="2"/>
  <c r="J323" i="2"/>
  <c r="J306" i="2"/>
  <c r="J319" i="2"/>
  <c r="J342" i="2"/>
  <c r="J351" i="2"/>
  <c r="J335" i="2"/>
  <c r="J327" i="2"/>
  <c r="J331" i="2"/>
  <c r="J290" i="2"/>
  <c r="J291" i="2"/>
  <c r="J338" i="2"/>
  <c r="J326" i="2"/>
  <c r="J367" i="2"/>
  <c r="J348" i="2"/>
  <c r="J328" i="2"/>
  <c r="J274" i="2"/>
  <c r="J287" i="2"/>
  <c r="J276" i="2"/>
  <c r="J263" i="2"/>
  <c r="J314" i="2"/>
  <c r="J322" i="2"/>
  <c r="J316" i="2"/>
  <c r="J295" i="2"/>
  <c r="J294" i="2"/>
  <c r="J307" i="2"/>
  <c r="J318" i="2"/>
  <c r="J299" i="2"/>
  <c r="J298" i="2"/>
  <c r="J284" i="2"/>
  <c r="J303" i="2"/>
  <c r="J279" i="2"/>
  <c r="J270" i="2"/>
  <c r="J275" i="2"/>
  <c r="J259" i="2"/>
  <c r="J283" i="2"/>
  <c r="J311" i="2"/>
  <c r="J315" i="2"/>
  <c r="J344" i="2"/>
  <c r="J363" i="2"/>
  <c r="J366" i="2"/>
  <c r="J359" i="2"/>
  <c r="J376" i="2"/>
  <c r="J365" i="2"/>
  <c r="J354" i="2"/>
  <c r="J350" i="2"/>
  <c r="J382" i="2"/>
  <c r="J386" i="2"/>
  <c r="J406" i="2"/>
  <c r="J423" i="2"/>
  <c r="J414" i="2"/>
  <c r="J411" i="2"/>
  <c r="J398" i="2"/>
  <c r="J395" i="2"/>
  <c r="J394" i="2"/>
  <c r="J438" i="2"/>
  <c r="J471" i="2"/>
  <c r="J467" i="2"/>
  <c r="J478" i="2"/>
  <c r="J460" i="2"/>
  <c r="J451" i="2"/>
  <c r="J426" i="2"/>
  <c r="J439" i="2"/>
  <c r="J435" i="2"/>
  <c r="J472" i="2"/>
  <c r="J483" i="2"/>
  <c r="J487" i="2"/>
  <c r="J383" i="2"/>
  <c r="J418" i="2"/>
  <c r="J403" i="2"/>
  <c r="J390" i="2"/>
  <c r="J409" i="2"/>
  <c r="J459" i="2"/>
  <c r="J410" i="2"/>
  <c r="J371" i="2"/>
  <c r="J378" i="2"/>
  <c r="J374" i="2"/>
  <c r="J379" i="2"/>
  <c r="J375" i="2"/>
  <c r="J384" i="2"/>
  <c r="J391" i="2"/>
  <c r="J443" i="2"/>
  <c r="J519" i="2"/>
  <c r="J530" i="2"/>
  <c r="J559" i="2"/>
  <c r="J594" i="2"/>
  <c r="J603" i="2"/>
  <c r="J611" i="2"/>
  <c r="J590" i="2"/>
  <c r="J586" i="2"/>
  <c r="J606" i="2"/>
  <c r="J574" i="2"/>
  <c r="J598" i="2"/>
  <c r="J587" i="2"/>
  <c r="J599" i="2"/>
  <c r="J600" i="2"/>
  <c r="J614" i="2"/>
  <c r="J615" i="2"/>
  <c r="J610" i="2"/>
  <c r="J578" i="2"/>
  <c r="J523" i="2"/>
  <c r="J546" i="2"/>
  <c r="J567" i="2"/>
  <c r="J543" i="2"/>
  <c r="J548" i="2"/>
  <c r="J565" i="2"/>
  <c r="J511" i="2"/>
  <c r="J558" i="2"/>
  <c r="J547" i="2"/>
  <c r="J550" i="2"/>
  <c r="J499" i="2"/>
  <c r="J490" i="2"/>
  <c r="J475" i="2"/>
  <c r="J442" i="2"/>
  <c r="J463" i="2"/>
  <c r="J431" i="2"/>
  <c r="J436" i="2"/>
  <c r="J458" i="2"/>
  <c r="J415" i="2"/>
  <c r="J466" i="2"/>
  <c r="J486" i="2"/>
  <c r="J488" i="2"/>
  <c r="J4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74EC9-FDA4-4029-AB80-5B972C968D9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8D1DFE26-1D98-4A4F-8B95-DAE6496CF3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0BC7B82-16BA-4DA9-A67B-EA5D3B9AC4CD}" name="WorksheetConnection_bitcoin-analysis.xlsx!data[[Open]:[Column3]]" type="102" refreshedVersion="8" minRefreshableVersion="5">
    <extLst>
      <ext xmlns:x15="http://schemas.microsoft.com/office/spreadsheetml/2010/11/main" uri="{DE250136-89BD-433C-8126-D09CA5730AF9}">
        <x15:connection id="data  Open   Column3" autoDelete="1">
          <x15:rangePr sourceName="_xlcn.WorksheetConnection_bitcoinanalysis.xlsxdataOpenColumn31"/>
        </x15:connection>
      </ext>
    </extLst>
  </connection>
</connections>
</file>

<file path=xl/sharedStrings.xml><?xml version="1.0" encoding="utf-8"?>
<sst xmlns="http://schemas.openxmlformats.org/spreadsheetml/2006/main" count="1528" uniqueCount="48">
  <si>
    <t>Date</t>
  </si>
  <si>
    <t>Month</t>
  </si>
  <si>
    <t>Symbol</t>
  </si>
  <si>
    <t>Open</t>
  </si>
  <si>
    <t>High</t>
  </si>
  <si>
    <t>Low</t>
  </si>
  <si>
    <t>Close</t>
  </si>
  <si>
    <t>Volume</t>
  </si>
  <si>
    <t>Jan</t>
  </si>
  <si>
    <t>BTCUSD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</si>
  <si>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</si>
  <si>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</si>
  <si>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</si>
  <si>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</si>
  <si>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</si>
  <si>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</si>
  <si>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</si>
  <si>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</si>
  <si>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</si>
  <si>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</si>
  <si>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</si>
  <si>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</si>
  <si>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SP500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</si>
  <si>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</si>
  <si>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</si>
  <si>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</si>
  <si>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</si>
  <si>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</si>
  <si>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</si>
  <si>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</si>
  <si>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</si>
  <si>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</si>
  <si>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</si>
  <si>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first opening</t>
  </si>
  <si>
    <t>last closing</t>
  </si>
  <si>
    <t>% change</t>
  </si>
  <si>
    <t>Largest High</t>
  </si>
  <si>
    <t>Lowest Low</t>
  </si>
  <si>
    <t>Average of Close</t>
  </si>
  <si>
    <t>Row Labels</t>
  </si>
  <si>
    <t>Grand Total</t>
  </si>
  <si>
    <t>Column Labels</t>
  </si>
  <si>
    <t>Sum of High</t>
  </si>
  <si>
    <t>Cleaned Symbol</t>
  </si>
  <si>
    <t>Cleaned Month</t>
  </si>
  <si>
    <t xml:space="preserve">39% Increase of BTC USD in 2021 whereas SPF500 increased 26% </t>
  </si>
  <si>
    <t>Monthly Average 2021</t>
  </si>
  <si>
    <t xml:space="preserve">Daily High Overtime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</si>
</sst>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gradientFill degree="90">
        <stop position="0">
          <color theme="0"/>
        </stop>
        <stop position="1">
          <color theme="9"/>
        </stop>
      </gradient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3" borderId="2" xfId="0" applyFill="1" applyBorder="1"/>
    <xf numFmtId="0" fontId="4" fillId="3" borderId="3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3" fillId="3" borderId="0" xfId="0" applyFont="1" applyFill="1" applyBorder="1"/>
    <xf numFmtId="0" fontId="3" fillId="3" borderId="6" xfId="0" applyFont="1" applyFill="1" applyBorder="1"/>
    <xf numFmtId="0" fontId="0" fillId="4" borderId="1" xfId="0" applyFont="1" applyFill="1" applyBorder="1"/>
    <xf numFmtId="9" fontId="0" fillId="3" borderId="6" xfId="1" applyFont="1" applyFill="1" applyBorder="1"/>
    <xf numFmtId="0" fontId="0" fillId="3" borderId="7" xfId="0" applyFill="1" applyBorder="1"/>
    <xf numFmtId="0" fontId="0" fillId="4" borderId="8" xfId="0" applyFont="1" applyFill="1" applyBorder="1"/>
    <xf numFmtId="9" fontId="0" fillId="3" borderId="9" xfId="1" applyFont="1" applyFill="1" applyBorder="1"/>
    <xf numFmtId="1" fontId="0" fillId="2" borderId="1" xfId="0" applyNumberFormat="1" applyFont="1" applyFill="1" applyBorder="1"/>
    <xf numFmtId="1" fontId="0" fillId="2" borderId="8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0" fillId="0" borderId="0" xfId="0" applyAlignment="1"/>
  </cellXfs>
  <cellStyles count="2">
    <cellStyle name="Normal" xfId="0" builtinId="0"/>
    <cellStyle name="Percent" xfId="1" builtinId="5"/>
  </cellStyles>
  <dxfs count="8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% Increase</a:t>
            </a:r>
            <a:r>
              <a:rPr lang="en-US" sz="2000" baseline="0"/>
              <a:t> during 2021</a:t>
            </a:r>
          </a:p>
        </c:rich>
      </c:tx>
      <c:layout>
        <c:manualLayout>
          <c:xMode val="edge"/>
          <c:yMode val="edge"/>
          <c:x val="0.30403704148285599"/>
          <c:y val="2.3232418143436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Upside!$B$4</c:f>
              <c:strCache>
                <c:ptCount val="1"/>
                <c:pt idx="0">
                  <c:v>BTCUSD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Upside!$E$3</c:f>
              <c:strCache>
                <c:ptCount val="1"/>
                <c:pt idx="0">
                  <c:v>% change</c:v>
                </c:pt>
              </c:strCache>
            </c:strRef>
          </c:cat>
          <c:val>
            <c:numRef>
              <c:f>Upside!$E$4</c:f>
              <c:numCache>
                <c:formatCode>0%</c:formatCode>
                <c:ptCount val="1"/>
                <c:pt idx="0">
                  <c:v>0.39234352550621249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7-4AD7-BCD2-6904307A2930}"/>
            </c:ext>
          </c:extLst>
        </c:ser>
        <c:ser>
          <c:idx val="1"/>
          <c:order val="1"/>
          <c:tx>
            <c:strRef>
              <c:f>Upside!$B$5</c:f>
              <c:strCache>
                <c:ptCount val="1"/>
                <c:pt idx="0">
                  <c:v>SP500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Upside!$E$3</c:f>
              <c:strCache>
                <c:ptCount val="1"/>
                <c:pt idx="0">
                  <c:v>% change</c:v>
                </c:pt>
              </c:strCache>
            </c:strRef>
          </c:cat>
          <c:val>
            <c:numRef>
              <c:f>Upside!$E$5</c:f>
              <c:numCache>
                <c:formatCode>0%</c:formatCode>
                <c:ptCount val="1"/>
                <c:pt idx="0">
                  <c:v>0.2660488071805579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7-4AD7-BCD2-6904307A2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296431"/>
        <c:axId val="1033291151"/>
      </c:barChart>
      <c:catAx>
        <c:axId val="103329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91151"/>
        <c:crosses val="autoZero"/>
        <c:auto val="1"/>
        <c:lblAlgn val="ctr"/>
        <c:lblOffset val="100"/>
        <c:noMultiLvlLbl val="0"/>
      </c:catAx>
      <c:valAx>
        <c:axId val="10332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96431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Spread!$C$5:$C$6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Spread!$F$5:$F$6</c:f>
              <c:numCache>
                <c:formatCode>0%</c:formatCode>
                <c:ptCount val="2"/>
                <c:pt idx="0">
                  <c:v>0.40046869565217391</c:v>
                </c:pt>
                <c:pt idx="1">
                  <c:v>0.76164760144148491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7-4AB6-AA5A-E64AA23A1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3298351"/>
        <c:axId val="1033289231"/>
      </c:barChart>
      <c:catAx>
        <c:axId val="10332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89231"/>
        <c:crosses val="autoZero"/>
        <c:auto val="1"/>
        <c:lblAlgn val="ctr"/>
        <c:lblOffset val="100"/>
        <c:noMultiLvlLbl val="0"/>
      </c:catAx>
      <c:valAx>
        <c:axId val="103328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[bitcoin-analysis.xlsx]Daily high!PivotTable4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high'!$B$3:$B$4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high'!$A$5:$A$367</c:f>
              <c:strCache>
                <c:ptCount val="362"/>
                <c:pt idx="0">
                  <c:v>04-01-21</c:v>
                </c:pt>
                <c:pt idx="1">
                  <c:v>05-01-21</c:v>
                </c:pt>
                <c:pt idx="2">
                  <c:v>06-01-21</c:v>
                </c:pt>
                <c:pt idx="3">
                  <c:v>07-01-21</c:v>
                </c:pt>
                <c:pt idx="4">
                  <c:v>08-01-21</c:v>
                </c:pt>
                <c:pt idx="5">
                  <c:v>09-01-21</c:v>
                </c:pt>
                <c:pt idx="6">
                  <c:v>10-01-21</c:v>
                </c:pt>
                <c:pt idx="7">
                  <c:v>11-01-21</c:v>
                </c:pt>
                <c:pt idx="8">
                  <c:v>12-01-21</c:v>
                </c:pt>
                <c:pt idx="9">
                  <c:v>13-01-21</c:v>
                </c:pt>
                <c:pt idx="10">
                  <c:v>14-01-21</c:v>
                </c:pt>
                <c:pt idx="11">
                  <c:v>15-01-21</c:v>
                </c:pt>
                <c:pt idx="12">
                  <c:v>16-01-21</c:v>
                </c:pt>
                <c:pt idx="13">
                  <c:v>17-01-21</c:v>
                </c:pt>
                <c:pt idx="14">
                  <c:v>18-01-21</c:v>
                </c:pt>
                <c:pt idx="15">
                  <c:v>19-01-21</c:v>
                </c:pt>
                <c:pt idx="16">
                  <c:v>20-01-21</c:v>
                </c:pt>
                <c:pt idx="17">
                  <c:v>21-01-21</c:v>
                </c:pt>
                <c:pt idx="18">
                  <c:v>22-01-21</c:v>
                </c:pt>
                <c:pt idx="19">
                  <c:v>23-01-21</c:v>
                </c:pt>
                <c:pt idx="20">
                  <c:v>24-01-21</c:v>
                </c:pt>
                <c:pt idx="21">
                  <c:v>25-01-21</c:v>
                </c:pt>
                <c:pt idx="22">
                  <c:v>26-01-21</c:v>
                </c:pt>
                <c:pt idx="23">
                  <c:v>27-01-21</c:v>
                </c:pt>
                <c:pt idx="24">
                  <c:v>28-01-21</c:v>
                </c:pt>
                <c:pt idx="25">
                  <c:v>29-01-21</c:v>
                </c:pt>
                <c:pt idx="26">
                  <c:v>30-01-21</c:v>
                </c:pt>
                <c:pt idx="27">
                  <c:v>31-01-21</c:v>
                </c:pt>
                <c:pt idx="28">
                  <c:v>01-02-21</c:v>
                </c:pt>
                <c:pt idx="29">
                  <c:v>02-02-21</c:v>
                </c:pt>
                <c:pt idx="30">
                  <c:v>03-02-21</c:v>
                </c:pt>
                <c:pt idx="31">
                  <c:v>04-02-21</c:v>
                </c:pt>
                <c:pt idx="32">
                  <c:v>05-02-21</c:v>
                </c:pt>
                <c:pt idx="33">
                  <c:v>06-02-21</c:v>
                </c:pt>
                <c:pt idx="34">
                  <c:v>07-02-21</c:v>
                </c:pt>
                <c:pt idx="35">
                  <c:v>08-02-21</c:v>
                </c:pt>
                <c:pt idx="36">
                  <c:v>09-02-21</c:v>
                </c:pt>
                <c:pt idx="37">
                  <c:v>10-02-21</c:v>
                </c:pt>
                <c:pt idx="38">
                  <c:v>11-02-21</c:v>
                </c:pt>
                <c:pt idx="39">
                  <c:v>12-02-21</c:v>
                </c:pt>
                <c:pt idx="40">
                  <c:v>13-02-21</c:v>
                </c:pt>
                <c:pt idx="41">
                  <c:v>14-02-21</c:v>
                </c:pt>
                <c:pt idx="42">
                  <c:v>15-02-21</c:v>
                </c:pt>
                <c:pt idx="43">
                  <c:v>16-02-21</c:v>
                </c:pt>
                <c:pt idx="44">
                  <c:v>17-02-21</c:v>
                </c:pt>
                <c:pt idx="45">
                  <c:v>18-02-21</c:v>
                </c:pt>
                <c:pt idx="46">
                  <c:v>19-02-21</c:v>
                </c:pt>
                <c:pt idx="47">
                  <c:v>20-02-21</c:v>
                </c:pt>
                <c:pt idx="48">
                  <c:v>21-02-21</c:v>
                </c:pt>
                <c:pt idx="49">
                  <c:v>22-02-21</c:v>
                </c:pt>
                <c:pt idx="50">
                  <c:v>23-02-21</c:v>
                </c:pt>
                <c:pt idx="51">
                  <c:v>24-02-21</c:v>
                </c:pt>
                <c:pt idx="52">
                  <c:v>25-02-21</c:v>
                </c:pt>
                <c:pt idx="53">
                  <c:v>26-02-21</c:v>
                </c:pt>
                <c:pt idx="54">
                  <c:v>27-02-21</c:v>
                </c:pt>
                <c:pt idx="55">
                  <c:v>28-02-21</c:v>
                </c:pt>
                <c:pt idx="56">
                  <c:v>01-03-21</c:v>
                </c:pt>
                <c:pt idx="57">
                  <c:v>02-03-21</c:v>
                </c:pt>
                <c:pt idx="58">
                  <c:v>03-03-21</c:v>
                </c:pt>
                <c:pt idx="59">
                  <c:v>04-03-21</c:v>
                </c:pt>
                <c:pt idx="60">
                  <c:v>05-03-21</c:v>
                </c:pt>
                <c:pt idx="61">
                  <c:v>06-03-21</c:v>
                </c:pt>
                <c:pt idx="62">
                  <c:v>07-03-21</c:v>
                </c:pt>
                <c:pt idx="63">
                  <c:v>08-03-21</c:v>
                </c:pt>
                <c:pt idx="64">
                  <c:v>09-03-21</c:v>
                </c:pt>
                <c:pt idx="65">
                  <c:v>10-03-21</c:v>
                </c:pt>
                <c:pt idx="66">
                  <c:v>11-03-21</c:v>
                </c:pt>
                <c:pt idx="67">
                  <c:v>12-03-21</c:v>
                </c:pt>
                <c:pt idx="68">
                  <c:v>13-03-21</c:v>
                </c:pt>
                <c:pt idx="69">
                  <c:v>14-03-21</c:v>
                </c:pt>
                <c:pt idx="70">
                  <c:v>15-03-21</c:v>
                </c:pt>
                <c:pt idx="71">
                  <c:v>16-03-21</c:v>
                </c:pt>
                <c:pt idx="72">
                  <c:v>17-03-21</c:v>
                </c:pt>
                <c:pt idx="73">
                  <c:v>18-03-21</c:v>
                </c:pt>
                <c:pt idx="74">
                  <c:v>19-03-21</c:v>
                </c:pt>
                <c:pt idx="75">
                  <c:v>20-03-21</c:v>
                </c:pt>
                <c:pt idx="76">
                  <c:v>21-03-21</c:v>
                </c:pt>
                <c:pt idx="77">
                  <c:v>22-03-21</c:v>
                </c:pt>
                <c:pt idx="78">
                  <c:v>23-03-21</c:v>
                </c:pt>
                <c:pt idx="79">
                  <c:v>24-03-21</c:v>
                </c:pt>
                <c:pt idx="80">
                  <c:v>25-03-21</c:v>
                </c:pt>
                <c:pt idx="81">
                  <c:v>26-03-21</c:v>
                </c:pt>
                <c:pt idx="82">
                  <c:v>27-03-21</c:v>
                </c:pt>
                <c:pt idx="83">
                  <c:v>28-03-21</c:v>
                </c:pt>
                <c:pt idx="84">
                  <c:v>29-03-21</c:v>
                </c:pt>
                <c:pt idx="85">
                  <c:v>30-03-21</c:v>
                </c:pt>
                <c:pt idx="86">
                  <c:v>31-03-21</c:v>
                </c:pt>
                <c:pt idx="87">
                  <c:v>01-04-21</c:v>
                </c:pt>
                <c:pt idx="88">
                  <c:v>02-04-21</c:v>
                </c:pt>
                <c:pt idx="89">
                  <c:v>03-04-21</c:v>
                </c:pt>
                <c:pt idx="90">
                  <c:v>04-04-21</c:v>
                </c:pt>
                <c:pt idx="91">
                  <c:v>05-04-21</c:v>
                </c:pt>
                <c:pt idx="92">
                  <c:v>06-04-21</c:v>
                </c:pt>
                <c:pt idx="93">
                  <c:v>07-04-21</c:v>
                </c:pt>
                <c:pt idx="94">
                  <c:v>08-04-21</c:v>
                </c:pt>
                <c:pt idx="95">
                  <c:v>09-04-21</c:v>
                </c:pt>
                <c:pt idx="96">
                  <c:v>10-04-21</c:v>
                </c:pt>
                <c:pt idx="97">
                  <c:v>11-04-21</c:v>
                </c:pt>
                <c:pt idx="98">
                  <c:v>12-04-21</c:v>
                </c:pt>
                <c:pt idx="99">
                  <c:v>13-04-21</c:v>
                </c:pt>
                <c:pt idx="100">
                  <c:v>14-04-21</c:v>
                </c:pt>
                <c:pt idx="101">
                  <c:v>15-04-21</c:v>
                </c:pt>
                <c:pt idx="102">
                  <c:v>16-04-21</c:v>
                </c:pt>
                <c:pt idx="103">
                  <c:v>17-04-21</c:v>
                </c:pt>
                <c:pt idx="104">
                  <c:v>18-04-21</c:v>
                </c:pt>
                <c:pt idx="105">
                  <c:v>19-04-21</c:v>
                </c:pt>
                <c:pt idx="106">
                  <c:v>20-04-21</c:v>
                </c:pt>
                <c:pt idx="107">
                  <c:v>21-04-21</c:v>
                </c:pt>
                <c:pt idx="108">
                  <c:v>22-04-21</c:v>
                </c:pt>
                <c:pt idx="109">
                  <c:v>23-04-21</c:v>
                </c:pt>
                <c:pt idx="110">
                  <c:v>24-04-21</c:v>
                </c:pt>
                <c:pt idx="111">
                  <c:v>25-04-21</c:v>
                </c:pt>
                <c:pt idx="112">
                  <c:v>26-04-21</c:v>
                </c:pt>
                <c:pt idx="113">
                  <c:v>27-04-21</c:v>
                </c:pt>
                <c:pt idx="114">
                  <c:v>28-04-21</c:v>
                </c:pt>
                <c:pt idx="115">
                  <c:v>29-04-21</c:v>
                </c:pt>
                <c:pt idx="116">
                  <c:v>30-04-21</c:v>
                </c:pt>
                <c:pt idx="117">
                  <c:v>01-05-21</c:v>
                </c:pt>
                <c:pt idx="118">
                  <c:v>02-05-21</c:v>
                </c:pt>
                <c:pt idx="119">
                  <c:v>03-05-21</c:v>
                </c:pt>
                <c:pt idx="120">
                  <c:v>04-05-21</c:v>
                </c:pt>
                <c:pt idx="121">
                  <c:v>05-05-21</c:v>
                </c:pt>
                <c:pt idx="122">
                  <c:v>06-05-21</c:v>
                </c:pt>
                <c:pt idx="123">
                  <c:v>07-05-21</c:v>
                </c:pt>
                <c:pt idx="124">
                  <c:v>08-05-21</c:v>
                </c:pt>
                <c:pt idx="125">
                  <c:v>09-05-21</c:v>
                </c:pt>
                <c:pt idx="126">
                  <c:v>10-05-21</c:v>
                </c:pt>
                <c:pt idx="127">
                  <c:v>11-05-21</c:v>
                </c:pt>
                <c:pt idx="128">
                  <c:v>12-05-21</c:v>
                </c:pt>
                <c:pt idx="129">
                  <c:v>13-05-21</c:v>
                </c:pt>
                <c:pt idx="130">
                  <c:v>14-05-21</c:v>
                </c:pt>
                <c:pt idx="131">
                  <c:v>15-05-21</c:v>
                </c:pt>
                <c:pt idx="132">
                  <c:v>16-05-21</c:v>
                </c:pt>
                <c:pt idx="133">
                  <c:v>17-05-21</c:v>
                </c:pt>
                <c:pt idx="134">
                  <c:v>18-05-21</c:v>
                </c:pt>
                <c:pt idx="135">
                  <c:v>19-05-21</c:v>
                </c:pt>
                <c:pt idx="136">
                  <c:v>20-05-21</c:v>
                </c:pt>
                <c:pt idx="137">
                  <c:v>21-05-21</c:v>
                </c:pt>
                <c:pt idx="138">
                  <c:v>22-05-21</c:v>
                </c:pt>
                <c:pt idx="139">
                  <c:v>23-05-21</c:v>
                </c:pt>
                <c:pt idx="140">
                  <c:v>24-05-21</c:v>
                </c:pt>
                <c:pt idx="141">
                  <c:v>25-05-21</c:v>
                </c:pt>
                <c:pt idx="142">
                  <c:v>26-05-21</c:v>
                </c:pt>
                <c:pt idx="143">
                  <c:v>27-05-21</c:v>
                </c:pt>
                <c:pt idx="144">
                  <c:v>28-05-21</c:v>
                </c:pt>
                <c:pt idx="145">
                  <c:v>29-05-21</c:v>
                </c:pt>
                <c:pt idx="146">
                  <c:v>30-05-21</c:v>
                </c:pt>
                <c:pt idx="147">
                  <c:v>31-05-21</c:v>
                </c:pt>
                <c:pt idx="148">
                  <c:v>01-06-21</c:v>
                </c:pt>
                <c:pt idx="149">
                  <c:v>02-06-21</c:v>
                </c:pt>
                <c:pt idx="150">
                  <c:v>03-06-21</c:v>
                </c:pt>
                <c:pt idx="151">
                  <c:v>04-06-21</c:v>
                </c:pt>
                <c:pt idx="152">
                  <c:v>05-06-21</c:v>
                </c:pt>
                <c:pt idx="153">
                  <c:v>06-06-21</c:v>
                </c:pt>
                <c:pt idx="154">
                  <c:v>07-06-21</c:v>
                </c:pt>
                <c:pt idx="155">
                  <c:v>08-06-21</c:v>
                </c:pt>
                <c:pt idx="156">
                  <c:v>09-06-21</c:v>
                </c:pt>
                <c:pt idx="157">
                  <c:v>10-06-21</c:v>
                </c:pt>
                <c:pt idx="158">
                  <c:v>11-06-21</c:v>
                </c:pt>
                <c:pt idx="159">
                  <c:v>12-06-21</c:v>
                </c:pt>
                <c:pt idx="160">
                  <c:v>13-06-21</c:v>
                </c:pt>
                <c:pt idx="161">
                  <c:v>14-06-21</c:v>
                </c:pt>
                <c:pt idx="162">
                  <c:v>15-06-21</c:v>
                </c:pt>
                <c:pt idx="163">
                  <c:v>16-06-21</c:v>
                </c:pt>
                <c:pt idx="164">
                  <c:v>17-06-21</c:v>
                </c:pt>
                <c:pt idx="165">
                  <c:v>18-06-21</c:v>
                </c:pt>
                <c:pt idx="166">
                  <c:v>19-06-21</c:v>
                </c:pt>
                <c:pt idx="167">
                  <c:v>20-06-21</c:v>
                </c:pt>
                <c:pt idx="168">
                  <c:v>21-06-21</c:v>
                </c:pt>
                <c:pt idx="169">
                  <c:v>22-06-21</c:v>
                </c:pt>
                <c:pt idx="170">
                  <c:v>23-06-21</c:v>
                </c:pt>
                <c:pt idx="171">
                  <c:v>24-06-21</c:v>
                </c:pt>
                <c:pt idx="172">
                  <c:v>25-06-21</c:v>
                </c:pt>
                <c:pt idx="173">
                  <c:v>26-06-21</c:v>
                </c:pt>
                <c:pt idx="174">
                  <c:v>27-06-21</c:v>
                </c:pt>
                <c:pt idx="175">
                  <c:v>28-06-21</c:v>
                </c:pt>
                <c:pt idx="176">
                  <c:v>29-06-21</c:v>
                </c:pt>
                <c:pt idx="177">
                  <c:v>30-06-21</c:v>
                </c:pt>
                <c:pt idx="178">
                  <c:v>01-07-21</c:v>
                </c:pt>
                <c:pt idx="179">
                  <c:v>02-07-21</c:v>
                </c:pt>
                <c:pt idx="180">
                  <c:v>03-07-21</c:v>
                </c:pt>
                <c:pt idx="181">
                  <c:v>04-07-21</c:v>
                </c:pt>
                <c:pt idx="182">
                  <c:v>05-07-21</c:v>
                </c:pt>
                <c:pt idx="183">
                  <c:v>06-07-21</c:v>
                </c:pt>
                <c:pt idx="184">
                  <c:v>07-07-21</c:v>
                </c:pt>
                <c:pt idx="185">
                  <c:v>08-07-21</c:v>
                </c:pt>
                <c:pt idx="186">
                  <c:v>09-07-21</c:v>
                </c:pt>
                <c:pt idx="187">
                  <c:v>10-07-21</c:v>
                </c:pt>
                <c:pt idx="188">
                  <c:v>11-07-21</c:v>
                </c:pt>
                <c:pt idx="189">
                  <c:v>12-07-21</c:v>
                </c:pt>
                <c:pt idx="190">
                  <c:v>13-07-21</c:v>
                </c:pt>
                <c:pt idx="191">
                  <c:v>14-07-21</c:v>
                </c:pt>
                <c:pt idx="192">
                  <c:v>15-07-21</c:v>
                </c:pt>
                <c:pt idx="193">
                  <c:v>16-07-21</c:v>
                </c:pt>
                <c:pt idx="194">
                  <c:v>17-07-21</c:v>
                </c:pt>
                <c:pt idx="195">
                  <c:v>18-07-21</c:v>
                </c:pt>
                <c:pt idx="196">
                  <c:v>19-07-21</c:v>
                </c:pt>
                <c:pt idx="197">
                  <c:v>20-07-21</c:v>
                </c:pt>
                <c:pt idx="198">
                  <c:v>21-07-21</c:v>
                </c:pt>
                <c:pt idx="199">
                  <c:v>22-07-21</c:v>
                </c:pt>
                <c:pt idx="200">
                  <c:v>23-07-21</c:v>
                </c:pt>
                <c:pt idx="201">
                  <c:v>24-07-21</c:v>
                </c:pt>
                <c:pt idx="202">
                  <c:v>25-07-21</c:v>
                </c:pt>
                <c:pt idx="203">
                  <c:v>26-07-21</c:v>
                </c:pt>
                <c:pt idx="204">
                  <c:v>27-07-21</c:v>
                </c:pt>
                <c:pt idx="205">
                  <c:v>28-07-21</c:v>
                </c:pt>
                <c:pt idx="206">
                  <c:v>29-07-21</c:v>
                </c:pt>
                <c:pt idx="207">
                  <c:v>30-07-21</c:v>
                </c:pt>
                <c:pt idx="208">
                  <c:v>31-07-21</c:v>
                </c:pt>
                <c:pt idx="209">
                  <c:v>01-08-21</c:v>
                </c:pt>
                <c:pt idx="210">
                  <c:v>02-08-21</c:v>
                </c:pt>
                <c:pt idx="211">
                  <c:v>03-08-21</c:v>
                </c:pt>
                <c:pt idx="212">
                  <c:v>04-08-21</c:v>
                </c:pt>
                <c:pt idx="213">
                  <c:v>05-08-21</c:v>
                </c:pt>
                <c:pt idx="214">
                  <c:v>06-08-21</c:v>
                </c:pt>
                <c:pt idx="215">
                  <c:v>07-08-21</c:v>
                </c:pt>
                <c:pt idx="216">
                  <c:v>08-08-21</c:v>
                </c:pt>
                <c:pt idx="217">
                  <c:v>09-08-21</c:v>
                </c:pt>
                <c:pt idx="218">
                  <c:v>10-08-21</c:v>
                </c:pt>
                <c:pt idx="219">
                  <c:v>11-08-21</c:v>
                </c:pt>
                <c:pt idx="220">
                  <c:v>12-08-21</c:v>
                </c:pt>
                <c:pt idx="221">
                  <c:v>13-08-21</c:v>
                </c:pt>
                <c:pt idx="222">
                  <c:v>14-08-21</c:v>
                </c:pt>
                <c:pt idx="223">
                  <c:v>15-08-21</c:v>
                </c:pt>
                <c:pt idx="224">
                  <c:v>16-08-21</c:v>
                </c:pt>
                <c:pt idx="225">
                  <c:v>17-08-21</c:v>
                </c:pt>
                <c:pt idx="226">
                  <c:v>18-08-21</c:v>
                </c:pt>
                <c:pt idx="227">
                  <c:v>19-08-21</c:v>
                </c:pt>
                <c:pt idx="228">
                  <c:v>20-08-21</c:v>
                </c:pt>
                <c:pt idx="229">
                  <c:v>21-08-21</c:v>
                </c:pt>
                <c:pt idx="230">
                  <c:v>22-08-21</c:v>
                </c:pt>
                <c:pt idx="231">
                  <c:v>23-08-21</c:v>
                </c:pt>
                <c:pt idx="232">
                  <c:v>24-08-21</c:v>
                </c:pt>
                <c:pt idx="233">
                  <c:v>25-08-21</c:v>
                </c:pt>
                <c:pt idx="234">
                  <c:v>26-08-21</c:v>
                </c:pt>
                <c:pt idx="235">
                  <c:v>27-08-21</c:v>
                </c:pt>
                <c:pt idx="236">
                  <c:v>28-08-21</c:v>
                </c:pt>
                <c:pt idx="237">
                  <c:v>29-08-21</c:v>
                </c:pt>
                <c:pt idx="238">
                  <c:v>30-08-21</c:v>
                </c:pt>
                <c:pt idx="239">
                  <c:v>31-08-21</c:v>
                </c:pt>
                <c:pt idx="240">
                  <c:v>01-09-21</c:v>
                </c:pt>
                <c:pt idx="241">
                  <c:v>02-09-21</c:v>
                </c:pt>
                <c:pt idx="242">
                  <c:v>03-09-21</c:v>
                </c:pt>
                <c:pt idx="243">
                  <c:v>04-09-21</c:v>
                </c:pt>
                <c:pt idx="244">
                  <c:v>05-09-21</c:v>
                </c:pt>
                <c:pt idx="245">
                  <c:v>06-09-21</c:v>
                </c:pt>
                <c:pt idx="246">
                  <c:v>07-09-21</c:v>
                </c:pt>
                <c:pt idx="247">
                  <c:v>08-09-21</c:v>
                </c:pt>
                <c:pt idx="248">
                  <c:v>09-09-21</c:v>
                </c:pt>
                <c:pt idx="249">
                  <c:v>10-09-21</c:v>
                </c:pt>
                <c:pt idx="250">
                  <c:v>11-09-21</c:v>
                </c:pt>
                <c:pt idx="251">
                  <c:v>12-09-21</c:v>
                </c:pt>
                <c:pt idx="252">
                  <c:v>13-09-21</c:v>
                </c:pt>
                <c:pt idx="253">
                  <c:v>14-09-21</c:v>
                </c:pt>
                <c:pt idx="254">
                  <c:v>15-09-21</c:v>
                </c:pt>
                <c:pt idx="255">
                  <c:v>16-09-21</c:v>
                </c:pt>
                <c:pt idx="256">
                  <c:v>17-09-21</c:v>
                </c:pt>
                <c:pt idx="257">
                  <c:v>18-09-21</c:v>
                </c:pt>
                <c:pt idx="258">
                  <c:v>19-09-21</c:v>
                </c:pt>
                <c:pt idx="259">
                  <c:v>20-09-21</c:v>
                </c:pt>
                <c:pt idx="260">
                  <c:v>21-09-21</c:v>
                </c:pt>
                <c:pt idx="261">
                  <c:v>22-09-21</c:v>
                </c:pt>
                <c:pt idx="262">
                  <c:v>23-09-21</c:v>
                </c:pt>
                <c:pt idx="263">
                  <c:v>24-09-21</c:v>
                </c:pt>
                <c:pt idx="264">
                  <c:v>25-09-21</c:v>
                </c:pt>
                <c:pt idx="265">
                  <c:v>26-09-21</c:v>
                </c:pt>
                <c:pt idx="266">
                  <c:v>27-09-21</c:v>
                </c:pt>
                <c:pt idx="267">
                  <c:v>28-09-21</c:v>
                </c:pt>
                <c:pt idx="268">
                  <c:v>29-09-21</c:v>
                </c:pt>
                <c:pt idx="269">
                  <c:v>30-09-21</c:v>
                </c:pt>
                <c:pt idx="270">
                  <c:v>01-10-21</c:v>
                </c:pt>
                <c:pt idx="271">
                  <c:v>02-10-21</c:v>
                </c:pt>
                <c:pt idx="272">
                  <c:v>03-10-21</c:v>
                </c:pt>
                <c:pt idx="273">
                  <c:v>04-10-21</c:v>
                </c:pt>
                <c:pt idx="274">
                  <c:v>05-10-21</c:v>
                </c:pt>
                <c:pt idx="275">
                  <c:v>06-10-21</c:v>
                </c:pt>
                <c:pt idx="276">
                  <c:v>07-10-21</c:v>
                </c:pt>
                <c:pt idx="277">
                  <c:v>08-10-21</c:v>
                </c:pt>
                <c:pt idx="278">
                  <c:v>09-10-21</c:v>
                </c:pt>
                <c:pt idx="279">
                  <c:v>10-10-21</c:v>
                </c:pt>
                <c:pt idx="280">
                  <c:v>11-10-21</c:v>
                </c:pt>
                <c:pt idx="281">
                  <c:v>12-10-21</c:v>
                </c:pt>
                <c:pt idx="282">
                  <c:v>13-10-21</c:v>
                </c:pt>
                <c:pt idx="283">
                  <c:v>14-10-21</c:v>
                </c:pt>
                <c:pt idx="284">
                  <c:v>15-10-21</c:v>
                </c:pt>
                <c:pt idx="285">
                  <c:v>16-10-21</c:v>
                </c:pt>
                <c:pt idx="286">
                  <c:v>17-10-21</c:v>
                </c:pt>
                <c:pt idx="287">
                  <c:v>18-10-21</c:v>
                </c:pt>
                <c:pt idx="288">
                  <c:v>19-10-21</c:v>
                </c:pt>
                <c:pt idx="289">
                  <c:v>20-10-21</c:v>
                </c:pt>
                <c:pt idx="290">
                  <c:v>21-10-21</c:v>
                </c:pt>
                <c:pt idx="291">
                  <c:v>22-10-21</c:v>
                </c:pt>
                <c:pt idx="292">
                  <c:v>23-10-21</c:v>
                </c:pt>
                <c:pt idx="293">
                  <c:v>24-10-21</c:v>
                </c:pt>
                <c:pt idx="294">
                  <c:v>25-10-21</c:v>
                </c:pt>
                <c:pt idx="295">
                  <c:v>26-10-21</c:v>
                </c:pt>
                <c:pt idx="296">
                  <c:v>27-10-21</c:v>
                </c:pt>
                <c:pt idx="297">
                  <c:v>28-10-21</c:v>
                </c:pt>
                <c:pt idx="298">
                  <c:v>29-10-21</c:v>
                </c:pt>
                <c:pt idx="299">
                  <c:v>30-10-21</c:v>
                </c:pt>
                <c:pt idx="300">
                  <c:v>31-10-21</c:v>
                </c:pt>
                <c:pt idx="301">
                  <c:v>01-11-21</c:v>
                </c:pt>
                <c:pt idx="302">
                  <c:v>02-11-21</c:v>
                </c:pt>
                <c:pt idx="303">
                  <c:v>03-11-21</c:v>
                </c:pt>
                <c:pt idx="304">
                  <c:v>04-11-21</c:v>
                </c:pt>
                <c:pt idx="305">
                  <c:v>05-11-21</c:v>
                </c:pt>
                <c:pt idx="306">
                  <c:v>06-11-21</c:v>
                </c:pt>
                <c:pt idx="307">
                  <c:v>07-11-21</c:v>
                </c:pt>
                <c:pt idx="308">
                  <c:v>08-11-21</c:v>
                </c:pt>
                <c:pt idx="309">
                  <c:v>09-11-21</c:v>
                </c:pt>
                <c:pt idx="310">
                  <c:v>10-11-21</c:v>
                </c:pt>
                <c:pt idx="311">
                  <c:v>11-11-21</c:v>
                </c:pt>
                <c:pt idx="312">
                  <c:v>12-11-21</c:v>
                </c:pt>
                <c:pt idx="313">
                  <c:v>13-11-21</c:v>
                </c:pt>
                <c:pt idx="314">
                  <c:v>14-11-21</c:v>
                </c:pt>
                <c:pt idx="315">
                  <c:v>15-11-21</c:v>
                </c:pt>
                <c:pt idx="316">
                  <c:v>16-11-21</c:v>
                </c:pt>
                <c:pt idx="317">
                  <c:v>17-11-21</c:v>
                </c:pt>
                <c:pt idx="318">
                  <c:v>18-11-21</c:v>
                </c:pt>
                <c:pt idx="319">
                  <c:v>19-11-21</c:v>
                </c:pt>
                <c:pt idx="320">
                  <c:v>20-11-21</c:v>
                </c:pt>
                <c:pt idx="321">
                  <c:v>21-11-21</c:v>
                </c:pt>
                <c:pt idx="322">
                  <c:v>22-11-21</c:v>
                </c:pt>
                <c:pt idx="323">
                  <c:v>23-11-21</c:v>
                </c:pt>
                <c:pt idx="324">
                  <c:v>24-11-21</c:v>
                </c:pt>
                <c:pt idx="325">
                  <c:v>25-11-21</c:v>
                </c:pt>
                <c:pt idx="326">
                  <c:v>26-11-21</c:v>
                </c:pt>
                <c:pt idx="327">
                  <c:v>27-11-21</c:v>
                </c:pt>
                <c:pt idx="328">
                  <c:v>28-11-21</c:v>
                </c:pt>
                <c:pt idx="329">
                  <c:v>29-11-21</c:v>
                </c:pt>
                <c:pt idx="330">
                  <c:v>30-11-21</c:v>
                </c:pt>
                <c:pt idx="331">
                  <c:v>01-12-21</c:v>
                </c:pt>
                <c:pt idx="332">
                  <c:v>02-12-21</c:v>
                </c:pt>
                <c:pt idx="333">
                  <c:v>03-12-21</c:v>
                </c:pt>
                <c:pt idx="334">
                  <c:v>04-12-21</c:v>
                </c:pt>
                <c:pt idx="335">
                  <c:v>05-12-21</c:v>
                </c:pt>
                <c:pt idx="336">
                  <c:v>06-12-21</c:v>
                </c:pt>
                <c:pt idx="337">
                  <c:v>07-12-21</c:v>
                </c:pt>
                <c:pt idx="338">
                  <c:v>08-12-21</c:v>
                </c:pt>
                <c:pt idx="339">
                  <c:v>09-12-21</c:v>
                </c:pt>
                <c:pt idx="340">
                  <c:v>10-12-21</c:v>
                </c:pt>
                <c:pt idx="341">
                  <c:v>11-12-21</c:v>
                </c:pt>
                <c:pt idx="342">
                  <c:v>12-12-21</c:v>
                </c:pt>
                <c:pt idx="343">
                  <c:v>13-12-21</c:v>
                </c:pt>
                <c:pt idx="344">
                  <c:v>14-12-21</c:v>
                </c:pt>
                <c:pt idx="345">
                  <c:v>15-12-21</c:v>
                </c:pt>
                <c:pt idx="346">
                  <c:v>16-12-21</c:v>
                </c:pt>
                <c:pt idx="347">
                  <c:v>17-12-21</c:v>
                </c:pt>
                <c:pt idx="348">
                  <c:v>18-12-21</c:v>
                </c:pt>
                <c:pt idx="349">
                  <c:v>19-12-21</c:v>
                </c:pt>
                <c:pt idx="350">
                  <c:v>20-12-21</c:v>
                </c:pt>
                <c:pt idx="351">
                  <c:v>21-12-21</c:v>
                </c:pt>
                <c:pt idx="352">
                  <c:v>22-12-21</c:v>
                </c:pt>
                <c:pt idx="353">
                  <c:v>23-12-21</c:v>
                </c:pt>
                <c:pt idx="354">
                  <c:v>24-12-21</c:v>
                </c:pt>
                <c:pt idx="355">
                  <c:v>25-12-21</c:v>
                </c:pt>
                <c:pt idx="356">
                  <c:v>26-12-21</c:v>
                </c:pt>
                <c:pt idx="357">
                  <c:v>27-12-21</c:v>
                </c:pt>
                <c:pt idx="358">
                  <c:v>28-12-21</c:v>
                </c:pt>
                <c:pt idx="359">
                  <c:v>29-12-21</c:v>
                </c:pt>
                <c:pt idx="360">
                  <c:v>30-12-21</c:v>
                </c:pt>
                <c:pt idx="361">
                  <c:v>31-12-21</c:v>
                </c:pt>
              </c:strCache>
            </c:strRef>
          </c:cat>
          <c:val>
            <c:numRef>
              <c:f>'Daily high'!$B$5:$B$367</c:f>
              <c:numCache>
                <c:formatCode>General</c:formatCode>
                <c:ptCount val="362"/>
                <c:pt idx="0">
                  <c:v>33669</c:v>
                </c:pt>
                <c:pt idx="1">
                  <c:v>34536.29</c:v>
                </c:pt>
                <c:pt idx="2">
                  <c:v>37824.480000000003</c:v>
                </c:pt>
                <c:pt idx="3">
                  <c:v>40396</c:v>
                </c:pt>
                <c:pt idx="4">
                  <c:v>41999.99</c:v>
                </c:pt>
                <c:pt idx="5">
                  <c:v>41470.21</c:v>
                </c:pt>
                <c:pt idx="6">
                  <c:v>41196.620000000003</c:v>
                </c:pt>
                <c:pt idx="7">
                  <c:v>36323.25</c:v>
                </c:pt>
                <c:pt idx="8">
                  <c:v>36651.339999999997</c:v>
                </c:pt>
                <c:pt idx="9">
                  <c:v>38188.33</c:v>
                </c:pt>
                <c:pt idx="10">
                  <c:v>40112.79</c:v>
                </c:pt>
                <c:pt idx="11">
                  <c:v>38849.96</c:v>
                </c:pt>
                <c:pt idx="12">
                  <c:v>37949.71</c:v>
                </c:pt>
                <c:pt idx="13">
                  <c:v>36840.11</c:v>
                </c:pt>
                <c:pt idx="14">
                  <c:v>37469.21</c:v>
                </c:pt>
                <c:pt idx="15">
                  <c:v>37934.199999999997</c:v>
                </c:pt>
                <c:pt idx="16">
                  <c:v>35964.949999999997</c:v>
                </c:pt>
                <c:pt idx="17">
                  <c:v>35000</c:v>
                </c:pt>
                <c:pt idx="18">
                  <c:v>33880</c:v>
                </c:pt>
                <c:pt idx="19">
                  <c:v>33479.49</c:v>
                </c:pt>
                <c:pt idx="20">
                  <c:v>33672.18</c:v>
                </c:pt>
                <c:pt idx="21">
                  <c:v>34885.56</c:v>
                </c:pt>
                <c:pt idx="22">
                  <c:v>32951</c:v>
                </c:pt>
                <c:pt idx="23">
                  <c:v>32059.73</c:v>
                </c:pt>
                <c:pt idx="24">
                  <c:v>34671.769999999997</c:v>
                </c:pt>
                <c:pt idx="25">
                  <c:v>38665.71</c:v>
                </c:pt>
                <c:pt idx="26">
                  <c:v>34805.65</c:v>
                </c:pt>
                <c:pt idx="27">
                  <c:v>34205</c:v>
                </c:pt>
                <c:pt idx="28">
                  <c:v>34700</c:v>
                </c:pt>
                <c:pt idx="29">
                  <c:v>36545.050000000003</c:v>
                </c:pt>
                <c:pt idx="30">
                  <c:v>38375</c:v>
                </c:pt>
                <c:pt idx="31">
                  <c:v>38785.99</c:v>
                </c:pt>
                <c:pt idx="32">
                  <c:v>39700</c:v>
                </c:pt>
                <c:pt idx="33">
                  <c:v>41000</c:v>
                </c:pt>
                <c:pt idx="34">
                  <c:v>39748.959999999999</c:v>
                </c:pt>
                <c:pt idx="35">
                  <c:v>47519.31</c:v>
                </c:pt>
                <c:pt idx="36">
                  <c:v>48201.23</c:v>
                </c:pt>
                <c:pt idx="37">
                  <c:v>47367.17</c:v>
                </c:pt>
                <c:pt idx="38">
                  <c:v>48975</c:v>
                </c:pt>
                <c:pt idx="39">
                  <c:v>48246.6</c:v>
                </c:pt>
                <c:pt idx="40">
                  <c:v>48027.3</c:v>
                </c:pt>
                <c:pt idx="41">
                  <c:v>49700</c:v>
                </c:pt>
                <c:pt idx="42">
                  <c:v>49600</c:v>
                </c:pt>
                <c:pt idx="43">
                  <c:v>50602.34</c:v>
                </c:pt>
                <c:pt idx="44">
                  <c:v>52668.45</c:v>
                </c:pt>
                <c:pt idx="45">
                  <c:v>52344</c:v>
                </c:pt>
                <c:pt idx="46">
                  <c:v>56605.599999999999</c:v>
                </c:pt>
                <c:pt idx="47">
                  <c:v>57500</c:v>
                </c:pt>
                <c:pt idx="48">
                  <c:v>58481.599999999999</c:v>
                </c:pt>
                <c:pt idx="49">
                  <c:v>56651.47</c:v>
                </c:pt>
                <c:pt idx="50">
                  <c:v>52294.87</c:v>
                </c:pt>
                <c:pt idx="51">
                  <c:v>51442.01</c:v>
                </c:pt>
                <c:pt idx="52">
                  <c:v>52074</c:v>
                </c:pt>
                <c:pt idx="53">
                  <c:v>48472.08</c:v>
                </c:pt>
                <c:pt idx="54">
                  <c:v>48380.14</c:v>
                </c:pt>
                <c:pt idx="55">
                  <c:v>46920</c:v>
                </c:pt>
                <c:pt idx="57">
                  <c:v>49757.22</c:v>
                </c:pt>
                <c:pt idx="58">
                  <c:v>52737.2</c:v>
                </c:pt>
                <c:pt idx="59">
                  <c:v>50754.39</c:v>
                </c:pt>
                <c:pt idx="60">
                  <c:v>49455.61</c:v>
                </c:pt>
                <c:pt idx="61">
                  <c:v>49915.73</c:v>
                </c:pt>
                <c:pt idx="62">
                  <c:v>51832.15</c:v>
                </c:pt>
                <c:pt idx="63">
                  <c:v>54126</c:v>
                </c:pt>
                <c:pt idx="64">
                  <c:v>55847.68</c:v>
                </c:pt>
                <c:pt idx="65">
                  <c:v>57400</c:v>
                </c:pt>
                <c:pt idx="66">
                  <c:v>58120</c:v>
                </c:pt>
                <c:pt idx="67">
                  <c:v>57959.22</c:v>
                </c:pt>
                <c:pt idx="68">
                  <c:v>61785</c:v>
                </c:pt>
                <c:pt idx="69">
                  <c:v>61500.82</c:v>
                </c:pt>
                <c:pt idx="70">
                  <c:v>60561.59</c:v>
                </c:pt>
                <c:pt idx="71">
                  <c:v>57185.78</c:v>
                </c:pt>
                <c:pt idx="72">
                  <c:v>59567.59</c:v>
                </c:pt>
                <c:pt idx="73">
                  <c:v>60099.99</c:v>
                </c:pt>
                <c:pt idx="74">
                  <c:v>59448.39</c:v>
                </c:pt>
                <c:pt idx="75">
                  <c:v>59880</c:v>
                </c:pt>
                <c:pt idx="76">
                  <c:v>58164.58</c:v>
                </c:pt>
                <c:pt idx="77">
                  <c:v>58445.36</c:v>
                </c:pt>
                <c:pt idx="78">
                  <c:v>55903.62</c:v>
                </c:pt>
                <c:pt idx="79">
                  <c:v>57245</c:v>
                </c:pt>
                <c:pt idx="80">
                  <c:v>53234.52</c:v>
                </c:pt>
                <c:pt idx="81">
                  <c:v>55627.21</c:v>
                </c:pt>
                <c:pt idx="82">
                  <c:v>56624.33</c:v>
                </c:pt>
                <c:pt idx="83">
                  <c:v>56576.23</c:v>
                </c:pt>
                <c:pt idx="84">
                  <c:v>58430.77</c:v>
                </c:pt>
                <c:pt idx="85">
                  <c:v>59385</c:v>
                </c:pt>
                <c:pt idx="86">
                  <c:v>59800</c:v>
                </c:pt>
                <c:pt idx="87">
                  <c:v>60100</c:v>
                </c:pt>
                <c:pt idx="88">
                  <c:v>59950</c:v>
                </c:pt>
                <c:pt idx="89">
                  <c:v>59851.519999999997</c:v>
                </c:pt>
                <c:pt idx="90">
                  <c:v>58500.94</c:v>
                </c:pt>
                <c:pt idx="91">
                  <c:v>59468.95</c:v>
                </c:pt>
                <c:pt idx="92">
                  <c:v>59028.19</c:v>
                </c:pt>
                <c:pt idx="93">
                  <c:v>58675.79</c:v>
                </c:pt>
                <c:pt idx="94">
                  <c:v>58400</c:v>
                </c:pt>
                <c:pt idx="95">
                  <c:v>59170</c:v>
                </c:pt>
                <c:pt idx="96">
                  <c:v>61180</c:v>
                </c:pt>
                <c:pt idx="97">
                  <c:v>60416.42</c:v>
                </c:pt>
                <c:pt idx="98">
                  <c:v>61197.09</c:v>
                </c:pt>
                <c:pt idx="99">
                  <c:v>63880</c:v>
                </c:pt>
                <c:pt idx="100">
                  <c:v>64900</c:v>
                </c:pt>
                <c:pt idx="101">
                  <c:v>63855.12</c:v>
                </c:pt>
                <c:pt idx="102">
                  <c:v>62998.68</c:v>
                </c:pt>
                <c:pt idx="103">
                  <c:v>62545.78</c:v>
                </c:pt>
                <c:pt idx="104">
                  <c:v>57404.04</c:v>
                </c:pt>
                <c:pt idx="105">
                  <c:v>57624.66</c:v>
                </c:pt>
                <c:pt idx="106">
                  <c:v>57145.34</c:v>
                </c:pt>
                <c:pt idx="107">
                  <c:v>56373</c:v>
                </c:pt>
                <c:pt idx="108">
                  <c:v>55499.99</c:v>
                </c:pt>
                <c:pt idx="109">
                  <c:v>51380.03</c:v>
                </c:pt>
                <c:pt idx="110">
                  <c:v>51150.01</c:v>
                </c:pt>
                <c:pt idx="111">
                  <c:v>52567.77</c:v>
                </c:pt>
                <c:pt idx="112">
                  <c:v>54419.57</c:v>
                </c:pt>
                <c:pt idx="113">
                  <c:v>55800</c:v>
                </c:pt>
                <c:pt idx="114">
                  <c:v>56474.720000000001</c:v>
                </c:pt>
                <c:pt idx="115">
                  <c:v>54755.360000000001</c:v>
                </c:pt>
                <c:pt idx="116">
                  <c:v>58553.71</c:v>
                </c:pt>
                <c:pt idx="118">
                  <c:v>58293.35</c:v>
                </c:pt>
                <c:pt idx="119">
                  <c:v>58988.52</c:v>
                </c:pt>
                <c:pt idx="120">
                  <c:v>56659.5</c:v>
                </c:pt>
                <c:pt idx="121">
                  <c:v>57974.07</c:v>
                </c:pt>
                <c:pt idx="122">
                  <c:v>58465.93</c:v>
                </c:pt>
                <c:pt idx="123">
                  <c:v>58750</c:v>
                </c:pt>
                <c:pt idx="124">
                  <c:v>59560</c:v>
                </c:pt>
                <c:pt idx="125">
                  <c:v>59481.34</c:v>
                </c:pt>
                <c:pt idx="126">
                  <c:v>59584.99</c:v>
                </c:pt>
                <c:pt idx="127">
                  <c:v>57898</c:v>
                </c:pt>
                <c:pt idx="128">
                  <c:v>57998.26</c:v>
                </c:pt>
                <c:pt idx="129">
                  <c:v>51389.95</c:v>
                </c:pt>
                <c:pt idx="130">
                  <c:v>51575.16</c:v>
                </c:pt>
                <c:pt idx="131">
                  <c:v>49900</c:v>
                </c:pt>
                <c:pt idx="132">
                  <c:v>49790</c:v>
                </c:pt>
                <c:pt idx="133">
                  <c:v>45833.48</c:v>
                </c:pt>
                <c:pt idx="134">
                  <c:v>45860.17</c:v>
                </c:pt>
                <c:pt idx="135">
                  <c:v>40867.4</c:v>
                </c:pt>
                <c:pt idx="136">
                  <c:v>42625.43</c:v>
                </c:pt>
                <c:pt idx="137">
                  <c:v>41796.74</c:v>
                </c:pt>
                <c:pt idx="138">
                  <c:v>38861.15</c:v>
                </c:pt>
                <c:pt idx="139">
                  <c:v>37484.18</c:v>
                </c:pt>
                <c:pt idx="140">
                  <c:v>39953.65</c:v>
                </c:pt>
                <c:pt idx="141">
                  <c:v>39760.959999999999</c:v>
                </c:pt>
                <c:pt idx="142">
                  <c:v>40861.199999999997</c:v>
                </c:pt>
                <c:pt idx="143">
                  <c:v>40432.400000000001</c:v>
                </c:pt>
                <c:pt idx="144">
                  <c:v>38271.589999999997</c:v>
                </c:pt>
                <c:pt idx="145">
                  <c:v>37320</c:v>
                </c:pt>
                <c:pt idx="146">
                  <c:v>36523.24</c:v>
                </c:pt>
                <c:pt idx="147">
                  <c:v>37912.870000000003</c:v>
                </c:pt>
                <c:pt idx="148">
                  <c:v>37448.019999999997</c:v>
                </c:pt>
                <c:pt idx="149">
                  <c:v>38256.400000000001</c:v>
                </c:pt>
                <c:pt idx="150">
                  <c:v>39487.910000000003</c:v>
                </c:pt>
                <c:pt idx="151">
                  <c:v>37963.61</c:v>
                </c:pt>
                <c:pt idx="152">
                  <c:v>37918.57</c:v>
                </c:pt>
                <c:pt idx="153">
                  <c:v>36812.089999999997</c:v>
                </c:pt>
                <c:pt idx="154">
                  <c:v>36798.03</c:v>
                </c:pt>
                <c:pt idx="155">
                  <c:v>33841.46</c:v>
                </c:pt>
                <c:pt idx="156">
                  <c:v>37676.6</c:v>
                </c:pt>
                <c:pt idx="157">
                  <c:v>38437.019999999997</c:v>
                </c:pt>
                <c:pt idx="158">
                  <c:v>37690</c:v>
                </c:pt>
                <c:pt idx="159">
                  <c:v>36222.800000000003</c:v>
                </c:pt>
                <c:pt idx="160">
                  <c:v>39816.720000000001</c:v>
                </c:pt>
                <c:pt idx="161">
                  <c:v>41060.769999999997</c:v>
                </c:pt>
                <c:pt idx="162">
                  <c:v>41380.019999999997</c:v>
                </c:pt>
                <c:pt idx="163">
                  <c:v>40490.019999999997</c:v>
                </c:pt>
                <c:pt idx="164">
                  <c:v>39575.03</c:v>
                </c:pt>
                <c:pt idx="165">
                  <c:v>38129.089999999997</c:v>
                </c:pt>
                <c:pt idx="166">
                  <c:v>36464.629999999997</c:v>
                </c:pt>
                <c:pt idx="167">
                  <c:v>36128.129999999997</c:v>
                </c:pt>
                <c:pt idx="168">
                  <c:v>34702.68</c:v>
                </c:pt>
                <c:pt idx="169">
                  <c:v>34392.050000000003</c:v>
                </c:pt>
                <c:pt idx="170">
                  <c:v>34851.199999999997</c:v>
                </c:pt>
                <c:pt idx="171">
                  <c:v>35274.9</c:v>
                </c:pt>
                <c:pt idx="172">
                  <c:v>35100</c:v>
                </c:pt>
                <c:pt idx="173">
                  <c:v>33209.589999999997</c:v>
                </c:pt>
                <c:pt idx="174">
                  <c:v>34983.42</c:v>
                </c:pt>
                <c:pt idx="175">
                  <c:v>35286.03</c:v>
                </c:pt>
                <c:pt idx="176">
                  <c:v>36661.800000000003</c:v>
                </c:pt>
                <c:pt idx="177">
                  <c:v>35333.25</c:v>
                </c:pt>
                <c:pt idx="178">
                  <c:v>34475.550000000003</c:v>
                </c:pt>
                <c:pt idx="179">
                  <c:v>33926.449999999997</c:v>
                </c:pt>
                <c:pt idx="180">
                  <c:v>34942.559999999998</c:v>
                </c:pt>
                <c:pt idx="181">
                  <c:v>35985.71</c:v>
                </c:pt>
                <c:pt idx="182">
                  <c:v>34559.72</c:v>
                </c:pt>
                <c:pt idx="183">
                  <c:v>35114.32</c:v>
                </c:pt>
                <c:pt idx="184">
                  <c:v>35098.28</c:v>
                </c:pt>
                <c:pt idx="185">
                  <c:v>33493.24</c:v>
                </c:pt>
                <c:pt idx="186">
                  <c:v>34262.53</c:v>
                </c:pt>
                <c:pt idx="187">
                  <c:v>34195.26</c:v>
                </c:pt>
                <c:pt idx="188">
                  <c:v>34602</c:v>
                </c:pt>
                <c:pt idx="189">
                  <c:v>34670.21</c:v>
                </c:pt>
                <c:pt idx="190">
                  <c:v>33334.71</c:v>
                </c:pt>
                <c:pt idx="191">
                  <c:v>33189.99</c:v>
                </c:pt>
                <c:pt idx="192">
                  <c:v>32691.72</c:v>
                </c:pt>
                <c:pt idx="193">
                  <c:v>32252.21</c:v>
                </c:pt>
                <c:pt idx="194">
                  <c:v>32437.07</c:v>
                </c:pt>
                <c:pt idx="195">
                  <c:v>32200.55</c:v>
                </c:pt>
                <c:pt idx="196">
                  <c:v>31890.59</c:v>
                </c:pt>
                <c:pt idx="197">
                  <c:v>30005.72</c:v>
                </c:pt>
                <c:pt idx="198">
                  <c:v>32950</c:v>
                </c:pt>
                <c:pt idx="199">
                  <c:v>32806.46</c:v>
                </c:pt>
                <c:pt idx="200">
                  <c:v>33800</c:v>
                </c:pt>
                <c:pt idx="201">
                  <c:v>34525.5</c:v>
                </c:pt>
                <c:pt idx="202">
                  <c:v>39782.93</c:v>
                </c:pt>
                <c:pt idx="203">
                  <c:v>40572.449999999997</c:v>
                </c:pt>
                <c:pt idx="204">
                  <c:v>40366.57</c:v>
                </c:pt>
                <c:pt idx="205">
                  <c:v>40928.46</c:v>
                </c:pt>
                <c:pt idx="206">
                  <c:v>40639.14</c:v>
                </c:pt>
                <c:pt idx="207">
                  <c:v>42400</c:v>
                </c:pt>
                <c:pt idx="208">
                  <c:v>42600</c:v>
                </c:pt>
                <c:pt idx="209">
                  <c:v>42475.28</c:v>
                </c:pt>
                <c:pt idx="210">
                  <c:v>40446.58</c:v>
                </c:pt>
                <c:pt idx="211">
                  <c:v>38824.81</c:v>
                </c:pt>
                <c:pt idx="212">
                  <c:v>39973.96</c:v>
                </c:pt>
                <c:pt idx="213">
                  <c:v>41431.18</c:v>
                </c:pt>
                <c:pt idx="214">
                  <c:v>43792.42</c:v>
                </c:pt>
                <c:pt idx="215">
                  <c:v>44837.59</c:v>
                </c:pt>
                <c:pt idx="216">
                  <c:v>45386.81</c:v>
                </c:pt>
                <c:pt idx="217">
                  <c:v>46729.86</c:v>
                </c:pt>
                <c:pt idx="218">
                  <c:v>46183.47</c:v>
                </c:pt>
                <c:pt idx="219">
                  <c:v>46775</c:v>
                </c:pt>
                <c:pt idx="220">
                  <c:v>46023.08</c:v>
                </c:pt>
                <c:pt idx="221">
                  <c:v>47900</c:v>
                </c:pt>
                <c:pt idx="222">
                  <c:v>48181.51</c:v>
                </c:pt>
                <c:pt idx="223">
                  <c:v>48044.25</c:v>
                </c:pt>
                <c:pt idx="224">
                  <c:v>47744.5</c:v>
                </c:pt>
                <c:pt idx="225">
                  <c:v>47162.94</c:v>
                </c:pt>
                <c:pt idx="226">
                  <c:v>46031</c:v>
                </c:pt>
                <c:pt idx="227">
                  <c:v>47424.13</c:v>
                </c:pt>
                <c:pt idx="228">
                  <c:v>49400</c:v>
                </c:pt>
                <c:pt idx="229">
                  <c:v>49812.54</c:v>
                </c:pt>
                <c:pt idx="230">
                  <c:v>50540.19</c:v>
                </c:pt>
                <c:pt idx="231">
                  <c:v>50517.99</c:v>
                </c:pt>
                <c:pt idx="232">
                  <c:v>49867.71</c:v>
                </c:pt>
                <c:pt idx="233">
                  <c:v>49365.42</c:v>
                </c:pt>
                <c:pt idx="234">
                  <c:v>48053.14</c:v>
                </c:pt>
                <c:pt idx="235">
                  <c:v>49313.26</c:v>
                </c:pt>
                <c:pt idx="236">
                  <c:v>49650</c:v>
                </c:pt>
                <c:pt idx="237">
                  <c:v>49408.07</c:v>
                </c:pt>
                <c:pt idx="238">
                  <c:v>48735.71</c:v>
                </c:pt>
                <c:pt idx="239">
                  <c:v>48261.59</c:v>
                </c:pt>
                <c:pt idx="240">
                  <c:v>49935.09</c:v>
                </c:pt>
                <c:pt idx="241">
                  <c:v>50412</c:v>
                </c:pt>
                <c:pt idx="242">
                  <c:v>51046.11</c:v>
                </c:pt>
                <c:pt idx="243">
                  <c:v>50545.41</c:v>
                </c:pt>
                <c:pt idx="244">
                  <c:v>51962.68</c:v>
                </c:pt>
                <c:pt idx="245">
                  <c:v>52938.78</c:v>
                </c:pt>
                <c:pt idx="246">
                  <c:v>52744.480000000003</c:v>
                </c:pt>
                <c:pt idx="247">
                  <c:v>46885.38</c:v>
                </c:pt>
                <c:pt idx="248">
                  <c:v>47396.38</c:v>
                </c:pt>
                <c:pt idx="249">
                  <c:v>46812.87</c:v>
                </c:pt>
                <c:pt idx="250">
                  <c:v>46001.33</c:v>
                </c:pt>
                <c:pt idx="251">
                  <c:v>46504.62</c:v>
                </c:pt>
                <c:pt idx="252">
                  <c:v>46897</c:v>
                </c:pt>
                <c:pt idx="253">
                  <c:v>47498.54</c:v>
                </c:pt>
                <c:pt idx="254">
                  <c:v>48455.16</c:v>
                </c:pt>
                <c:pt idx="255">
                  <c:v>48500</c:v>
                </c:pt>
                <c:pt idx="256">
                  <c:v>48165.96</c:v>
                </c:pt>
                <c:pt idx="257">
                  <c:v>48808.97</c:v>
                </c:pt>
                <c:pt idx="258">
                  <c:v>48333.32</c:v>
                </c:pt>
                <c:pt idx="259">
                  <c:v>45837.9</c:v>
                </c:pt>
                <c:pt idx="260">
                  <c:v>43655.53</c:v>
                </c:pt>
                <c:pt idx="261">
                  <c:v>44231.92</c:v>
                </c:pt>
                <c:pt idx="262">
                  <c:v>45062.97</c:v>
                </c:pt>
                <c:pt idx="263">
                  <c:v>45157.81</c:v>
                </c:pt>
                <c:pt idx="264">
                  <c:v>42985.06</c:v>
                </c:pt>
                <c:pt idx="265">
                  <c:v>44350</c:v>
                </c:pt>
                <c:pt idx="266">
                  <c:v>44250.76</c:v>
                </c:pt>
                <c:pt idx="267">
                  <c:v>42771.12</c:v>
                </c:pt>
                <c:pt idx="268">
                  <c:v>43726.63</c:v>
                </c:pt>
                <c:pt idx="269">
                  <c:v>44097.7</c:v>
                </c:pt>
                <c:pt idx="270">
                  <c:v>48495.68</c:v>
                </c:pt>
                <c:pt idx="271">
                  <c:v>48346.7</c:v>
                </c:pt>
                <c:pt idx="272">
                  <c:v>49259.3</c:v>
                </c:pt>
                <c:pt idx="273">
                  <c:v>49789.33</c:v>
                </c:pt>
                <c:pt idx="274">
                  <c:v>51927.83</c:v>
                </c:pt>
                <c:pt idx="275">
                  <c:v>55800</c:v>
                </c:pt>
                <c:pt idx="276">
                  <c:v>55231.53</c:v>
                </c:pt>
                <c:pt idx="277">
                  <c:v>56150.58</c:v>
                </c:pt>
                <c:pt idx="278">
                  <c:v>55486.87</c:v>
                </c:pt>
                <c:pt idx="279">
                  <c:v>56759.01</c:v>
                </c:pt>
                <c:pt idx="280">
                  <c:v>58000</c:v>
                </c:pt>
                <c:pt idx="281">
                  <c:v>57688.88</c:v>
                </c:pt>
                <c:pt idx="282">
                  <c:v>58500.02</c:v>
                </c:pt>
                <c:pt idx="283">
                  <c:v>59450</c:v>
                </c:pt>
                <c:pt idx="284">
                  <c:v>62898</c:v>
                </c:pt>
                <c:pt idx="285">
                  <c:v>62366.080000000002</c:v>
                </c:pt>
                <c:pt idx="286">
                  <c:v>62552.73</c:v>
                </c:pt>
                <c:pt idx="287">
                  <c:v>62973.38</c:v>
                </c:pt>
                <c:pt idx="288">
                  <c:v>64498.12</c:v>
                </c:pt>
                <c:pt idx="289">
                  <c:v>66994.720000000001</c:v>
                </c:pt>
                <c:pt idx="290">
                  <c:v>66643.14</c:v>
                </c:pt>
                <c:pt idx="291">
                  <c:v>63745.62</c:v>
                </c:pt>
                <c:pt idx="292">
                  <c:v>61743.51</c:v>
                </c:pt>
                <c:pt idx="293">
                  <c:v>62223.14</c:v>
                </c:pt>
                <c:pt idx="294">
                  <c:v>63703.3</c:v>
                </c:pt>
                <c:pt idx="295">
                  <c:v>63102.8</c:v>
                </c:pt>
                <c:pt idx="296">
                  <c:v>61500</c:v>
                </c:pt>
                <c:pt idx="297">
                  <c:v>62508.87</c:v>
                </c:pt>
                <c:pt idx="298">
                  <c:v>62978</c:v>
                </c:pt>
                <c:pt idx="299">
                  <c:v>62487.97</c:v>
                </c:pt>
                <c:pt idx="300">
                  <c:v>61768</c:v>
                </c:pt>
                <c:pt idx="301">
                  <c:v>62490</c:v>
                </c:pt>
                <c:pt idx="302">
                  <c:v>64319</c:v>
                </c:pt>
                <c:pt idx="303">
                  <c:v>63547.54</c:v>
                </c:pt>
                <c:pt idx="304">
                  <c:v>62858.83</c:v>
                </c:pt>
                <c:pt idx="305">
                  <c:v>64000</c:v>
                </c:pt>
                <c:pt idx="306">
                  <c:v>62338.16</c:v>
                </c:pt>
                <c:pt idx="307">
                  <c:v>65680</c:v>
                </c:pt>
                <c:pt idx="308">
                  <c:v>68534.11</c:v>
                </c:pt>
                <c:pt idx="309">
                  <c:v>68529.52</c:v>
                </c:pt>
                <c:pt idx="310">
                  <c:v>69000</c:v>
                </c:pt>
                <c:pt idx="311">
                  <c:v>65587</c:v>
                </c:pt>
                <c:pt idx="312">
                  <c:v>65071.49</c:v>
                </c:pt>
                <c:pt idx="313">
                  <c:v>65338.87</c:v>
                </c:pt>
                <c:pt idx="314">
                  <c:v>66200</c:v>
                </c:pt>
                <c:pt idx="315">
                  <c:v>66340.740000000005</c:v>
                </c:pt>
                <c:pt idx="316">
                  <c:v>61558.53</c:v>
                </c:pt>
                <c:pt idx="317">
                  <c:v>60976.25</c:v>
                </c:pt>
                <c:pt idx="318">
                  <c:v>60106.3</c:v>
                </c:pt>
                <c:pt idx="319">
                  <c:v>59042</c:v>
                </c:pt>
                <c:pt idx="320">
                  <c:v>59886.11</c:v>
                </c:pt>
                <c:pt idx="321">
                  <c:v>60061.89</c:v>
                </c:pt>
                <c:pt idx="322">
                  <c:v>59581.52</c:v>
                </c:pt>
                <c:pt idx="323">
                  <c:v>57882.26</c:v>
                </c:pt>
                <c:pt idx="324">
                  <c:v>58276.58</c:v>
                </c:pt>
                <c:pt idx="325">
                  <c:v>59476.65</c:v>
                </c:pt>
                <c:pt idx="326">
                  <c:v>58043.76</c:v>
                </c:pt>
                <c:pt idx="327">
                  <c:v>55320.800000000003</c:v>
                </c:pt>
                <c:pt idx="328">
                  <c:v>58265.2</c:v>
                </c:pt>
                <c:pt idx="329">
                  <c:v>58903.31</c:v>
                </c:pt>
                <c:pt idx="330">
                  <c:v>59226.98</c:v>
                </c:pt>
                <c:pt idx="331">
                  <c:v>59105.91</c:v>
                </c:pt>
                <c:pt idx="332">
                  <c:v>57277.919999999998</c:v>
                </c:pt>
                <c:pt idx="333">
                  <c:v>57673.58</c:v>
                </c:pt>
                <c:pt idx="334">
                  <c:v>52644.42</c:v>
                </c:pt>
                <c:pt idx="335">
                  <c:v>49786.95</c:v>
                </c:pt>
                <c:pt idx="336">
                  <c:v>51481.04</c:v>
                </c:pt>
                <c:pt idx="337">
                  <c:v>51982.66</c:v>
                </c:pt>
                <c:pt idx="338">
                  <c:v>51269.82</c:v>
                </c:pt>
                <c:pt idx="339">
                  <c:v>50362.35</c:v>
                </c:pt>
                <c:pt idx="340">
                  <c:v>49243</c:v>
                </c:pt>
                <c:pt idx="341">
                  <c:v>49699.99</c:v>
                </c:pt>
                <c:pt idx="342">
                  <c:v>50808.480000000003</c:v>
                </c:pt>
                <c:pt idx="343">
                  <c:v>49348.69</c:v>
                </c:pt>
                <c:pt idx="344">
                  <c:v>48784.28</c:v>
                </c:pt>
                <c:pt idx="345">
                  <c:v>49500</c:v>
                </c:pt>
                <c:pt idx="346">
                  <c:v>49466.29</c:v>
                </c:pt>
                <c:pt idx="347">
                  <c:v>48194.13</c:v>
                </c:pt>
                <c:pt idx="348">
                  <c:v>47980.93</c:v>
                </c:pt>
                <c:pt idx="349">
                  <c:v>48306.22</c:v>
                </c:pt>
                <c:pt idx="350">
                  <c:v>48082.61</c:v>
                </c:pt>
                <c:pt idx="351">
                  <c:v>49598.11</c:v>
                </c:pt>
                <c:pt idx="352">
                  <c:v>49548.86</c:v>
                </c:pt>
                <c:pt idx="353">
                  <c:v>51533.71</c:v>
                </c:pt>
                <c:pt idx="354">
                  <c:v>51866.86</c:v>
                </c:pt>
                <c:pt idx="355">
                  <c:v>51156.95</c:v>
                </c:pt>
                <c:pt idx="356">
                  <c:v>51294.26</c:v>
                </c:pt>
                <c:pt idx="357">
                  <c:v>52104.93</c:v>
                </c:pt>
                <c:pt idx="358">
                  <c:v>49834.68</c:v>
                </c:pt>
                <c:pt idx="359">
                  <c:v>48075.97</c:v>
                </c:pt>
                <c:pt idx="360">
                  <c:v>47949.3</c:v>
                </c:pt>
                <c:pt idx="361">
                  <c:v>48578.35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1-412F-A664-CE6866BF6ED8}"/>
            </c:ext>
          </c:extLst>
        </c:ser>
        <c:ser>
          <c:idx val="1"/>
          <c:order val="1"/>
          <c:tx>
            <c:strRef>
              <c:f>'Daily high'!$C$3:$C$4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high'!$A$5:$A$367</c:f>
              <c:strCache>
                <c:ptCount val="362"/>
                <c:pt idx="0">
                  <c:v>04-01-21</c:v>
                </c:pt>
                <c:pt idx="1">
                  <c:v>05-01-21</c:v>
                </c:pt>
                <c:pt idx="2">
                  <c:v>06-01-21</c:v>
                </c:pt>
                <c:pt idx="3">
                  <c:v>07-01-21</c:v>
                </c:pt>
                <c:pt idx="4">
                  <c:v>08-01-21</c:v>
                </c:pt>
                <c:pt idx="5">
                  <c:v>09-01-21</c:v>
                </c:pt>
                <c:pt idx="6">
                  <c:v>10-01-21</c:v>
                </c:pt>
                <c:pt idx="7">
                  <c:v>11-01-21</c:v>
                </c:pt>
                <c:pt idx="8">
                  <c:v>12-01-21</c:v>
                </c:pt>
                <c:pt idx="9">
                  <c:v>13-01-21</c:v>
                </c:pt>
                <c:pt idx="10">
                  <c:v>14-01-21</c:v>
                </c:pt>
                <c:pt idx="11">
                  <c:v>15-01-21</c:v>
                </c:pt>
                <c:pt idx="12">
                  <c:v>16-01-21</c:v>
                </c:pt>
                <c:pt idx="13">
                  <c:v>17-01-21</c:v>
                </c:pt>
                <c:pt idx="14">
                  <c:v>18-01-21</c:v>
                </c:pt>
                <c:pt idx="15">
                  <c:v>19-01-21</c:v>
                </c:pt>
                <c:pt idx="16">
                  <c:v>20-01-21</c:v>
                </c:pt>
                <c:pt idx="17">
                  <c:v>21-01-21</c:v>
                </c:pt>
                <c:pt idx="18">
                  <c:v>22-01-21</c:v>
                </c:pt>
                <c:pt idx="19">
                  <c:v>23-01-21</c:v>
                </c:pt>
                <c:pt idx="20">
                  <c:v>24-01-21</c:v>
                </c:pt>
                <c:pt idx="21">
                  <c:v>25-01-21</c:v>
                </c:pt>
                <c:pt idx="22">
                  <c:v>26-01-21</c:v>
                </c:pt>
                <c:pt idx="23">
                  <c:v>27-01-21</c:v>
                </c:pt>
                <c:pt idx="24">
                  <c:v>28-01-21</c:v>
                </c:pt>
                <c:pt idx="25">
                  <c:v>29-01-21</c:v>
                </c:pt>
                <c:pt idx="26">
                  <c:v>30-01-21</c:v>
                </c:pt>
                <c:pt idx="27">
                  <c:v>31-01-21</c:v>
                </c:pt>
                <c:pt idx="28">
                  <c:v>01-02-21</c:v>
                </c:pt>
                <c:pt idx="29">
                  <c:v>02-02-21</c:v>
                </c:pt>
                <c:pt idx="30">
                  <c:v>03-02-21</c:v>
                </c:pt>
                <c:pt idx="31">
                  <c:v>04-02-21</c:v>
                </c:pt>
                <c:pt idx="32">
                  <c:v>05-02-21</c:v>
                </c:pt>
                <c:pt idx="33">
                  <c:v>06-02-21</c:v>
                </c:pt>
                <c:pt idx="34">
                  <c:v>07-02-21</c:v>
                </c:pt>
                <c:pt idx="35">
                  <c:v>08-02-21</c:v>
                </c:pt>
                <c:pt idx="36">
                  <c:v>09-02-21</c:v>
                </c:pt>
                <c:pt idx="37">
                  <c:v>10-02-21</c:v>
                </c:pt>
                <c:pt idx="38">
                  <c:v>11-02-21</c:v>
                </c:pt>
                <c:pt idx="39">
                  <c:v>12-02-21</c:v>
                </c:pt>
                <c:pt idx="40">
                  <c:v>13-02-21</c:v>
                </c:pt>
                <c:pt idx="41">
                  <c:v>14-02-21</c:v>
                </c:pt>
                <c:pt idx="42">
                  <c:v>15-02-21</c:v>
                </c:pt>
                <c:pt idx="43">
                  <c:v>16-02-21</c:v>
                </c:pt>
                <c:pt idx="44">
                  <c:v>17-02-21</c:v>
                </c:pt>
                <c:pt idx="45">
                  <c:v>18-02-21</c:v>
                </c:pt>
                <c:pt idx="46">
                  <c:v>19-02-21</c:v>
                </c:pt>
                <c:pt idx="47">
                  <c:v>20-02-21</c:v>
                </c:pt>
                <c:pt idx="48">
                  <c:v>21-02-21</c:v>
                </c:pt>
                <c:pt idx="49">
                  <c:v>22-02-21</c:v>
                </c:pt>
                <c:pt idx="50">
                  <c:v>23-02-21</c:v>
                </c:pt>
                <c:pt idx="51">
                  <c:v>24-02-21</c:v>
                </c:pt>
                <c:pt idx="52">
                  <c:v>25-02-21</c:v>
                </c:pt>
                <c:pt idx="53">
                  <c:v>26-02-21</c:v>
                </c:pt>
                <c:pt idx="54">
                  <c:v>27-02-21</c:v>
                </c:pt>
                <c:pt idx="55">
                  <c:v>28-02-21</c:v>
                </c:pt>
                <c:pt idx="56">
                  <c:v>01-03-21</c:v>
                </c:pt>
                <c:pt idx="57">
                  <c:v>02-03-21</c:v>
                </c:pt>
                <c:pt idx="58">
                  <c:v>03-03-21</c:v>
                </c:pt>
                <c:pt idx="59">
                  <c:v>04-03-21</c:v>
                </c:pt>
                <c:pt idx="60">
                  <c:v>05-03-21</c:v>
                </c:pt>
                <c:pt idx="61">
                  <c:v>06-03-21</c:v>
                </c:pt>
                <c:pt idx="62">
                  <c:v>07-03-21</c:v>
                </c:pt>
                <c:pt idx="63">
                  <c:v>08-03-21</c:v>
                </c:pt>
                <c:pt idx="64">
                  <c:v>09-03-21</c:v>
                </c:pt>
                <c:pt idx="65">
                  <c:v>10-03-21</c:v>
                </c:pt>
                <c:pt idx="66">
                  <c:v>11-03-21</c:v>
                </c:pt>
                <c:pt idx="67">
                  <c:v>12-03-21</c:v>
                </c:pt>
                <c:pt idx="68">
                  <c:v>13-03-21</c:v>
                </c:pt>
                <c:pt idx="69">
                  <c:v>14-03-21</c:v>
                </c:pt>
                <c:pt idx="70">
                  <c:v>15-03-21</c:v>
                </c:pt>
                <c:pt idx="71">
                  <c:v>16-03-21</c:v>
                </c:pt>
                <c:pt idx="72">
                  <c:v>17-03-21</c:v>
                </c:pt>
                <c:pt idx="73">
                  <c:v>18-03-21</c:v>
                </c:pt>
                <c:pt idx="74">
                  <c:v>19-03-21</c:v>
                </c:pt>
                <c:pt idx="75">
                  <c:v>20-03-21</c:v>
                </c:pt>
                <c:pt idx="76">
                  <c:v>21-03-21</c:v>
                </c:pt>
                <c:pt idx="77">
                  <c:v>22-03-21</c:v>
                </c:pt>
                <c:pt idx="78">
                  <c:v>23-03-21</c:v>
                </c:pt>
                <c:pt idx="79">
                  <c:v>24-03-21</c:v>
                </c:pt>
                <c:pt idx="80">
                  <c:v>25-03-21</c:v>
                </c:pt>
                <c:pt idx="81">
                  <c:v>26-03-21</c:v>
                </c:pt>
                <c:pt idx="82">
                  <c:v>27-03-21</c:v>
                </c:pt>
                <c:pt idx="83">
                  <c:v>28-03-21</c:v>
                </c:pt>
                <c:pt idx="84">
                  <c:v>29-03-21</c:v>
                </c:pt>
                <c:pt idx="85">
                  <c:v>30-03-21</c:v>
                </c:pt>
                <c:pt idx="86">
                  <c:v>31-03-21</c:v>
                </c:pt>
                <c:pt idx="87">
                  <c:v>01-04-21</c:v>
                </c:pt>
                <c:pt idx="88">
                  <c:v>02-04-21</c:v>
                </c:pt>
                <c:pt idx="89">
                  <c:v>03-04-21</c:v>
                </c:pt>
                <c:pt idx="90">
                  <c:v>04-04-21</c:v>
                </c:pt>
                <c:pt idx="91">
                  <c:v>05-04-21</c:v>
                </c:pt>
                <c:pt idx="92">
                  <c:v>06-04-21</c:v>
                </c:pt>
                <c:pt idx="93">
                  <c:v>07-04-21</c:v>
                </c:pt>
                <c:pt idx="94">
                  <c:v>08-04-21</c:v>
                </c:pt>
                <c:pt idx="95">
                  <c:v>09-04-21</c:v>
                </c:pt>
                <c:pt idx="96">
                  <c:v>10-04-21</c:v>
                </c:pt>
                <c:pt idx="97">
                  <c:v>11-04-21</c:v>
                </c:pt>
                <c:pt idx="98">
                  <c:v>12-04-21</c:v>
                </c:pt>
                <c:pt idx="99">
                  <c:v>13-04-21</c:v>
                </c:pt>
                <c:pt idx="100">
                  <c:v>14-04-21</c:v>
                </c:pt>
                <c:pt idx="101">
                  <c:v>15-04-21</c:v>
                </c:pt>
                <c:pt idx="102">
                  <c:v>16-04-21</c:v>
                </c:pt>
                <c:pt idx="103">
                  <c:v>17-04-21</c:v>
                </c:pt>
                <c:pt idx="104">
                  <c:v>18-04-21</c:v>
                </c:pt>
                <c:pt idx="105">
                  <c:v>19-04-21</c:v>
                </c:pt>
                <c:pt idx="106">
                  <c:v>20-04-21</c:v>
                </c:pt>
                <c:pt idx="107">
                  <c:v>21-04-21</c:v>
                </c:pt>
                <c:pt idx="108">
                  <c:v>22-04-21</c:v>
                </c:pt>
                <c:pt idx="109">
                  <c:v>23-04-21</c:v>
                </c:pt>
                <c:pt idx="110">
                  <c:v>24-04-21</c:v>
                </c:pt>
                <c:pt idx="111">
                  <c:v>25-04-21</c:v>
                </c:pt>
                <c:pt idx="112">
                  <c:v>26-04-21</c:v>
                </c:pt>
                <c:pt idx="113">
                  <c:v>27-04-21</c:v>
                </c:pt>
                <c:pt idx="114">
                  <c:v>28-04-21</c:v>
                </c:pt>
                <c:pt idx="115">
                  <c:v>29-04-21</c:v>
                </c:pt>
                <c:pt idx="116">
                  <c:v>30-04-21</c:v>
                </c:pt>
                <c:pt idx="117">
                  <c:v>01-05-21</c:v>
                </c:pt>
                <c:pt idx="118">
                  <c:v>02-05-21</c:v>
                </c:pt>
                <c:pt idx="119">
                  <c:v>03-05-21</c:v>
                </c:pt>
                <c:pt idx="120">
                  <c:v>04-05-21</c:v>
                </c:pt>
                <c:pt idx="121">
                  <c:v>05-05-21</c:v>
                </c:pt>
                <c:pt idx="122">
                  <c:v>06-05-21</c:v>
                </c:pt>
                <c:pt idx="123">
                  <c:v>07-05-21</c:v>
                </c:pt>
                <c:pt idx="124">
                  <c:v>08-05-21</c:v>
                </c:pt>
                <c:pt idx="125">
                  <c:v>09-05-21</c:v>
                </c:pt>
                <c:pt idx="126">
                  <c:v>10-05-21</c:v>
                </c:pt>
                <c:pt idx="127">
                  <c:v>11-05-21</c:v>
                </c:pt>
                <c:pt idx="128">
                  <c:v>12-05-21</c:v>
                </c:pt>
                <c:pt idx="129">
                  <c:v>13-05-21</c:v>
                </c:pt>
                <c:pt idx="130">
                  <c:v>14-05-21</c:v>
                </c:pt>
                <c:pt idx="131">
                  <c:v>15-05-21</c:v>
                </c:pt>
                <c:pt idx="132">
                  <c:v>16-05-21</c:v>
                </c:pt>
                <c:pt idx="133">
                  <c:v>17-05-21</c:v>
                </c:pt>
                <c:pt idx="134">
                  <c:v>18-05-21</c:v>
                </c:pt>
                <c:pt idx="135">
                  <c:v>19-05-21</c:v>
                </c:pt>
                <c:pt idx="136">
                  <c:v>20-05-21</c:v>
                </c:pt>
                <c:pt idx="137">
                  <c:v>21-05-21</c:v>
                </c:pt>
                <c:pt idx="138">
                  <c:v>22-05-21</c:v>
                </c:pt>
                <c:pt idx="139">
                  <c:v>23-05-21</c:v>
                </c:pt>
                <c:pt idx="140">
                  <c:v>24-05-21</c:v>
                </c:pt>
                <c:pt idx="141">
                  <c:v>25-05-21</c:v>
                </c:pt>
                <c:pt idx="142">
                  <c:v>26-05-21</c:v>
                </c:pt>
                <c:pt idx="143">
                  <c:v>27-05-21</c:v>
                </c:pt>
                <c:pt idx="144">
                  <c:v>28-05-21</c:v>
                </c:pt>
                <c:pt idx="145">
                  <c:v>29-05-21</c:v>
                </c:pt>
                <c:pt idx="146">
                  <c:v>30-05-21</c:v>
                </c:pt>
                <c:pt idx="147">
                  <c:v>31-05-21</c:v>
                </c:pt>
                <c:pt idx="148">
                  <c:v>01-06-21</c:v>
                </c:pt>
                <c:pt idx="149">
                  <c:v>02-06-21</c:v>
                </c:pt>
                <c:pt idx="150">
                  <c:v>03-06-21</c:v>
                </c:pt>
                <c:pt idx="151">
                  <c:v>04-06-21</c:v>
                </c:pt>
                <c:pt idx="152">
                  <c:v>05-06-21</c:v>
                </c:pt>
                <c:pt idx="153">
                  <c:v>06-06-21</c:v>
                </c:pt>
                <c:pt idx="154">
                  <c:v>07-06-21</c:v>
                </c:pt>
                <c:pt idx="155">
                  <c:v>08-06-21</c:v>
                </c:pt>
                <c:pt idx="156">
                  <c:v>09-06-21</c:v>
                </c:pt>
                <c:pt idx="157">
                  <c:v>10-06-21</c:v>
                </c:pt>
                <c:pt idx="158">
                  <c:v>11-06-21</c:v>
                </c:pt>
                <c:pt idx="159">
                  <c:v>12-06-21</c:v>
                </c:pt>
                <c:pt idx="160">
                  <c:v>13-06-21</c:v>
                </c:pt>
                <c:pt idx="161">
                  <c:v>14-06-21</c:v>
                </c:pt>
                <c:pt idx="162">
                  <c:v>15-06-21</c:v>
                </c:pt>
                <c:pt idx="163">
                  <c:v>16-06-21</c:v>
                </c:pt>
                <c:pt idx="164">
                  <c:v>17-06-21</c:v>
                </c:pt>
                <c:pt idx="165">
                  <c:v>18-06-21</c:v>
                </c:pt>
                <c:pt idx="166">
                  <c:v>19-06-21</c:v>
                </c:pt>
                <c:pt idx="167">
                  <c:v>20-06-21</c:v>
                </c:pt>
                <c:pt idx="168">
                  <c:v>21-06-21</c:v>
                </c:pt>
                <c:pt idx="169">
                  <c:v>22-06-21</c:v>
                </c:pt>
                <c:pt idx="170">
                  <c:v>23-06-21</c:v>
                </c:pt>
                <c:pt idx="171">
                  <c:v>24-06-21</c:v>
                </c:pt>
                <c:pt idx="172">
                  <c:v>25-06-21</c:v>
                </c:pt>
                <c:pt idx="173">
                  <c:v>26-06-21</c:v>
                </c:pt>
                <c:pt idx="174">
                  <c:v>27-06-21</c:v>
                </c:pt>
                <c:pt idx="175">
                  <c:v>28-06-21</c:v>
                </c:pt>
                <c:pt idx="176">
                  <c:v>29-06-21</c:v>
                </c:pt>
                <c:pt idx="177">
                  <c:v>30-06-21</c:v>
                </c:pt>
                <c:pt idx="178">
                  <c:v>01-07-21</c:v>
                </c:pt>
                <c:pt idx="179">
                  <c:v>02-07-21</c:v>
                </c:pt>
                <c:pt idx="180">
                  <c:v>03-07-21</c:v>
                </c:pt>
                <c:pt idx="181">
                  <c:v>04-07-21</c:v>
                </c:pt>
                <c:pt idx="182">
                  <c:v>05-07-21</c:v>
                </c:pt>
                <c:pt idx="183">
                  <c:v>06-07-21</c:v>
                </c:pt>
                <c:pt idx="184">
                  <c:v>07-07-21</c:v>
                </c:pt>
                <c:pt idx="185">
                  <c:v>08-07-21</c:v>
                </c:pt>
                <c:pt idx="186">
                  <c:v>09-07-21</c:v>
                </c:pt>
                <c:pt idx="187">
                  <c:v>10-07-21</c:v>
                </c:pt>
                <c:pt idx="188">
                  <c:v>11-07-21</c:v>
                </c:pt>
                <c:pt idx="189">
                  <c:v>12-07-21</c:v>
                </c:pt>
                <c:pt idx="190">
                  <c:v>13-07-21</c:v>
                </c:pt>
                <c:pt idx="191">
                  <c:v>14-07-21</c:v>
                </c:pt>
                <c:pt idx="192">
                  <c:v>15-07-21</c:v>
                </c:pt>
                <c:pt idx="193">
                  <c:v>16-07-21</c:v>
                </c:pt>
                <c:pt idx="194">
                  <c:v>17-07-21</c:v>
                </c:pt>
                <c:pt idx="195">
                  <c:v>18-07-21</c:v>
                </c:pt>
                <c:pt idx="196">
                  <c:v>19-07-21</c:v>
                </c:pt>
                <c:pt idx="197">
                  <c:v>20-07-21</c:v>
                </c:pt>
                <c:pt idx="198">
                  <c:v>21-07-21</c:v>
                </c:pt>
                <c:pt idx="199">
                  <c:v>22-07-21</c:v>
                </c:pt>
                <c:pt idx="200">
                  <c:v>23-07-21</c:v>
                </c:pt>
                <c:pt idx="201">
                  <c:v>24-07-21</c:v>
                </c:pt>
                <c:pt idx="202">
                  <c:v>25-07-21</c:v>
                </c:pt>
                <c:pt idx="203">
                  <c:v>26-07-21</c:v>
                </c:pt>
                <c:pt idx="204">
                  <c:v>27-07-21</c:v>
                </c:pt>
                <c:pt idx="205">
                  <c:v>28-07-21</c:v>
                </c:pt>
                <c:pt idx="206">
                  <c:v>29-07-21</c:v>
                </c:pt>
                <c:pt idx="207">
                  <c:v>30-07-21</c:v>
                </c:pt>
                <c:pt idx="208">
                  <c:v>31-07-21</c:v>
                </c:pt>
                <c:pt idx="209">
                  <c:v>01-08-21</c:v>
                </c:pt>
                <c:pt idx="210">
                  <c:v>02-08-21</c:v>
                </c:pt>
                <c:pt idx="211">
                  <c:v>03-08-21</c:v>
                </c:pt>
                <c:pt idx="212">
                  <c:v>04-08-21</c:v>
                </c:pt>
                <c:pt idx="213">
                  <c:v>05-08-21</c:v>
                </c:pt>
                <c:pt idx="214">
                  <c:v>06-08-21</c:v>
                </c:pt>
                <c:pt idx="215">
                  <c:v>07-08-21</c:v>
                </c:pt>
                <c:pt idx="216">
                  <c:v>08-08-21</c:v>
                </c:pt>
                <c:pt idx="217">
                  <c:v>09-08-21</c:v>
                </c:pt>
                <c:pt idx="218">
                  <c:v>10-08-21</c:v>
                </c:pt>
                <c:pt idx="219">
                  <c:v>11-08-21</c:v>
                </c:pt>
                <c:pt idx="220">
                  <c:v>12-08-21</c:v>
                </c:pt>
                <c:pt idx="221">
                  <c:v>13-08-21</c:v>
                </c:pt>
                <c:pt idx="222">
                  <c:v>14-08-21</c:v>
                </c:pt>
                <c:pt idx="223">
                  <c:v>15-08-21</c:v>
                </c:pt>
                <c:pt idx="224">
                  <c:v>16-08-21</c:v>
                </c:pt>
                <c:pt idx="225">
                  <c:v>17-08-21</c:v>
                </c:pt>
                <c:pt idx="226">
                  <c:v>18-08-21</c:v>
                </c:pt>
                <c:pt idx="227">
                  <c:v>19-08-21</c:v>
                </c:pt>
                <c:pt idx="228">
                  <c:v>20-08-21</c:v>
                </c:pt>
                <c:pt idx="229">
                  <c:v>21-08-21</c:v>
                </c:pt>
                <c:pt idx="230">
                  <c:v>22-08-21</c:v>
                </c:pt>
                <c:pt idx="231">
                  <c:v>23-08-21</c:v>
                </c:pt>
                <c:pt idx="232">
                  <c:v>24-08-21</c:v>
                </c:pt>
                <c:pt idx="233">
                  <c:v>25-08-21</c:v>
                </c:pt>
                <c:pt idx="234">
                  <c:v>26-08-21</c:v>
                </c:pt>
                <c:pt idx="235">
                  <c:v>27-08-21</c:v>
                </c:pt>
                <c:pt idx="236">
                  <c:v>28-08-21</c:v>
                </c:pt>
                <c:pt idx="237">
                  <c:v>29-08-21</c:v>
                </c:pt>
                <c:pt idx="238">
                  <c:v>30-08-21</c:v>
                </c:pt>
                <c:pt idx="239">
                  <c:v>31-08-21</c:v>
                </c:pt>
                <c:pt idx="240">
                  <c:v>01-09-21</c:v>
                </c:pt>
                <c:pt idx="241">
                  <c:v>02-09-21</c:v>
                </c:pt>
                <c:pt idx="242">
                  <c:v>03-09-21</c:v>
                </c:pt>
                <c:pt idx="243">
                  <c:v>04-09-21</c:v>
                </c:pt>
                <c:pt idx="244">
                  <c:v>05-09-21</c:v>
                </c:pt>
                <c:pt idx="245">
                  <c:v>06-09-21</c:v>
                </c:pt>
                <c:pt idx="246">
                  <c:v>07-09-21</c:v>
                </c:pt>
                <c:pt idx="247">
                  <c:v>08-09-21</c:v>
                </c:pt>
                <c:pt idx="248">
                  <c:v>09-09-21</c:v>
                </c:pt>
                <c:pt idx="249">
                  <c:v>10-09-21</c:v>
                </c:pt>
                <c:pt idx="250">
                  <c:v>11-09-21</c:v>
                </c:pt>
                <c:pt idx="251">
                  <c:v>12-09-21</c:v>
                </c:pt>
                <c:pt idx="252">
                  <c:v>13-09-21</c:v>
                </c:pt>
                <c:pt idx="253">
                  <c:v>14-09-21</c:v>
                </c:pt>
                <c:pt idx="254">
                  <c:v>15-09-21</c:v>
                </c:pt>
                <c:pt idx="255">
                  <c:v>16-09-21</c:v>
                </c:pt>
                <c:pt idx="256">
                  <c:v>17-09-21</c:v>
                </c:pt>
                <c:pt idx="257">
                  <c:v>18-09-21</c:v>
                </c:pt>
                <c:pt idx="258">
                  <c:v>19-09-21</c:v>
                </c:pt>
                <c:pt idx="259">
                  <c:v>20-09-21</c:v>
                </c:pt>
                <c:pt idx="260">
                  <c:v>21-09-21</c:v>
                </c:pt>
                <c:pt idx="261">
                  <c:v>22-09-21</c:v>
                </c:pt>
                <c:pt idx="262">
                  <c:v>23-09-21</c:v>
                </c:pt>
                <c:pt idx="263">
                  <c:v>24-09-21</c:v>
                </c:pt>
                <c:pt idx="264">
                  <c:v>25-09-21</c:v>
                </c:pt>
                <c:pt idx="265">
                  <c:v>26-09-21</c:v>
                </c:pt>
                <c:pt idx="266">
                  <c:v>27-09-21</c:v>
                </c:pt>
                <c:pt idx="267">
                  <c:v>28-09-21</c:v>
                </c:pt>
                <c:pt idx="268">
                  <c:v>29-09-21</c:v>
                </c:pt>
                <c:pt idx="269">
                  <c:v>30-09-21</c:v>
                </c:pt>
                <c:pt idx="270">
                  <c:v>01-10-21</c:v>
                </c:pt>
                <c:pt idx="271">
                  <c:v>02-10-21</c:v>
                </c:pt>
                <c:pt idx="272">
                  <c:v>03-10-21</c:v>
                </c:pt>
                <c:pt idx="273">
                  <c:v>04-10-21</c:v>
                </c:pt>
                <c:pt idx="274">
                  <c:v>05-10-21</c:v>
                </c:pt>
                <c:pt idx="275">
                  <c:v>06-10-21</c:v>
                </c:pt>
                <c:pt idx="276">
                  <c:v>07-10-21</c:v>
                </c:pt>
                <c:pt idx="277">
                  <c:v>08-10-21</c:v>
                </c:pt>
                <c:pt idx="278">
                  <c:v>09-10-21</c:v>
                </c:pt>
                <c:pt idx="279">
                  <c:v>10-10-21</c:v>
                </c:pt>
                <c:pt idx="280">
                  <c:v>11-10-21</c:v>
                </c:pt>
                <c:pt idx="281">
                  <c:v>12-10-21</c:v>
                </c:pt>
                <c:pt idx="282">
                  <c:v>13-10-21</c:v>
                </c:pt>
                <c:pt idx="283">
                  <c:v>14-10-21</c:v>
                </c:pt>
                <c:pt idx="284">
                  <c:v>15-10-21</c:v>
                </c:pt>
                <c:pt idx="285">
                  <c:v>16-10-21</c:v>
                </c:pt>
                <c:pt idx="286">
                  <c:v>17-10-21</c:v>
                </c:pt>
                <c:pt idx="287">
                  <c:v>18-10-21</c:v>
                </c:pt>
                <c:pt idx="288">
                  <c:v>19-10-21</c:v>
                </c:pt>
                <c:pt idx="289">
                  <c:v>20-10-21</c:v>
                </c:pt>
                <c:pt idx="290">
                  <c:v>21-10-21</c:v>
                </c:pt>
                <c:pt idx="291">
                  <c:v>22-10-21</c:v>
                </c:pt>
                <c:pt idx="292">
                  <c:v>23-10-21</c:v>
                </c:pt>
                <c:pt idx="293">
                  <c:v>24-10-21</c:v>
                </c:pt>
                <c:pt idx="294">
                  <c:v>25-10-21</c:v>
                </c:pt>
                <c:pt idx="295">
                  <c:v>26-10-21</c:v>
                </c:pt>
                <c:pt idx="296">
                  <c:v>27-10-21</c:v>
                </c:pt>
                <c:pt idx="297">
                  <c:v>28-10-21</c:v>
                </c:pt>
                <c:pt idx="298">
                  <c:v>29-10-21</c:v>
                </c:pt>
                <c:pt idx="299">
                  <c:v>30-10-21</c:v>
                </c:pt>
                <c:pt idx="300">
                  <c:v>31-10-21</c:v>
                </c:pt>
                <c:pt idx="301">
                  <c:v>01-11-21</c:v>
                </c:pt>
                <c:pt idx="302">
                  <c:v>02-11-21</c:v>
                </c:pt>
                <c:pt idx="303">
                  <c:v>03-11-21</c:v>
                </c:pt>
                <c:pt idx="304">
                  <c:v>04-11-21</c:v>
                </c:pt>
                <c:pt idx="305">
                  <c:v>05-11-21</c:v>
                </c:pt>
                <c:pt idx="306">
                  <c:v>06-11-21</c:v>
                </c:pt>
                <c:pt idx="307">
                  <c:v>07-11-21</c:v>
                </c:pt>
                <c:pt idx="308">
                  <c:v>08-11-21</c:v>
                </c:pt>
                <c:pt idx="309">
                  <c:v>09-11-21</c:v>
                </c:pt>
                <c:pt idx="310">
                  <c:v>10-11-21</c:v>
                </c:pt>
                <c:pt idx="311">
                  <c:v>11-11-21</c:v>
                </c:pt>
                <c:pt idx="312">
                  <c:v>12-11-21</c:v>
                </c:pt>
                <c:pt idx="313">
                  <c:v>13-11-21</c:v>
                </c:pt>
                <c:pt idx="314">
                  <c:v>14-11-21</c:v>
                </c:pt>
                <c:pt idx="315">
                  <c:v>15-11-21</c:v>
                </c:pt>
                <c:pt idx="316">
                  <c:v>16-11-21</c:v>
                </c:pt>
                <c:pt idx="317">
                  <c:v>17-11-21</c:v>
                </c:pt>
                <c:pt idx="318">
                  <c:v>18-11-21</c:v>
                </c:pt>
                <c:pt idx="319">
                  <c:v>19-11-21</c:v>
                </c:pt>
                <c:pt idx="320">
                  <c:v>20-11-21</c:v>
                </c:pt>
                <c:pt idx="321">
                  <c:v>21-11-21</c:v>
                </c:pt>
                <c:pt idx="322">
                  <c:v>22-11-21</c:v>
                </c:pt>
                <c:pt idx="323">
                  <c:v>23-11-21</c:v>
                </c:pt>
                <c:pt idx="324">
                  <c:v>24-11-21</c:v>
                </c:pt>
                <c:pt idx="325">
                  <c:v>25-11-21</c:v>
                </c:pt>
                <c:pt idx="326">
                  <c:v>26-11-21</c:v>
                </c:pt>
                <c:pt idx="327">
                  <c:v>27-11-21</c:v>
                </c:pt>
                <c:pt idx="328">
                  <c:v>28-11-21</c:v>
                </c:pt>
                <c:pt idx="329">
                  <c:v>29-11-21</c:v>
                </c:pt>
                <c:pt idx="330">
                  <c:v>30-11-21</c:v>
                </c:pt>
                <c:pt idx="331">
                  <c:v>01-12-21</c:v>
                </c:pt>
                <c:pt idx="332">
                  <c:v>02-12-21</c:v>
                </c:pt>
                <c:pt idx="333">
                  <c:v>03-12-21</c:v>
                </c:pt>
                <c:pt idx="334">
                  <c:v>04-12-21</c:v>
                </c:pt>
                <c:pt idx="335">
                  <c:v>05-12-21</c:v>
                </c:pt>
                <c:pt idx="336">
                  <c:v>06-12-21</c:v>
                </c:pt>
                <c:pt idx="337">
                  <c:v>07-12-21</c:v>
                </c:pt>
                <c:pt idx="338">
                  <c:v>08-12-21</c:v>
                </c:pt>
                <c:pt idx="339">
                  <c:v>09-12-21</c:v>
                </c:pt>
                <c:pt idx="340">
                  <c:v>10-12-21</c:v>
                </c:pt>
                <c:pt idx="341">
                  <c:v>11-12-21</c:v>
                </c:pt>
                <c:pt idx="342">
                  <c:v>12-12-21</c:v>
                </c:pt>
                <c:pt idx="343">
                  <c:v>13-12-21</c:v>
                </c:pt>
                <c:pt idx="344">
                  <c:v>14-12-21</c:v>
                </c:pt>
                <c:pt idx="345">
                  <c:v>15-12-21</c:v>
                </c:pt>
                <c:pt idx="346">
                  <c:v>16-12-21</c:v>
                </c:pt>
                <c:pt idx="347">
                  <c:v>17-12-21</c:v>
                </c:pt>
                <c:pt idx="348">
                  <c:v>18-12-21</c:v>
                </c:pt>
                <c:pt idx="349">
                  <c:v>19-12-21</c:v>
                </c:pt>
                <c:pt idx="350">
                  <c:v>20-12-21</c:v>
                </c:pt>
                <c:pt idx="351">
                  <c:v>21-12-21</c:v>
                </c:pt>
                <c:pt idx="352">
                  <c:v>22-12-21</c:v>
                </c:pt>
                <c:pt idx="353">
                  <c:v>23-12-21</c:v>
                </c:pt>
                <c:pt idx="354">
                  <c:v>24-12-21</c:v>
                </c:pt>
                <c:pt idx="355">
                  <c:v>25-12-21</c:v>
                </c:pt>
                <c:pt idx="356">
                  <c:v>26-12-21</c:v>
                </c:pt>
                <c:pt idx="357">
                  <c:v>27-12-21</c:v>
                </c:pt>
                <c:pt idx="358">
                  <c:v>28-12-21</c:v>
                </c:pt>
                <c:pt idx="359">
                  <c:v>29-12-21</c:v>
                </c:pt>
                <c:pt idx="360">
                  <c:v>30-12-21</c:v>
                </c:pt>
                <c:pt idx="361">
                  <c:v>31-12-21</c:v>
                </c:pt>
              </c:strCache>
            </c:strRef>
          </c:cat>
          <c:val>
            <c:numRef>
              <c:f>'Daily high'!$C$5:$C$367</c:f>
              <c:numCache>
                <c:formatCode>General</c:formatCode>
                <c:ptCount val="362"/>
                <c:pt idx="0">
                  <c:v>3769.99</c:v>
                </c:pt>
                <c:pt idx="1">
                  <c:v>3737.83</c:v>
                </c:pt>
                <c:pt idx="2">
                  <c:v>3783.04</c:v>
                </c:pt>
                <c:pt idx="3">
                  <c:v>3811.55</c:v>
                </c:pt>
                <c:pt idx="4">
                  <c:v>3826.69</c:v>
                </c:pt>
                <c:pt idx="7">
                  <c:v>3817.86</c:v>
                </c:pt>
                <c:pt idx="8">
                  <c:v>3810.78</c:v>
                </c:pt>
                <c:pt idx="9">
                  <c:v>3820.96</c:v>
                </c:pt>
                <c:pt idx="10">
                  <c:v>3823.6</c:v>
                </c:pt>
                <c:pt idx="11">
                  <c:v>3788.73</c:v>
                </c:pt>
                <c:pt idx="15">
                  <c:v>3804.53</c:v>
                </c:pt>
                <c:pt idx="16">
                  <c:v>3859.75</c:v>
                </c:pt>
                <c:pt idx="17">
                  <c:v>3861.45</c:v>
                </c:pt>
                <c:pt idx="18">
                  <c:v>3852.31</c:v>
                </c:pt>
                <c:pt idx="21">
                  <c:v>3859.23</c:v>
                </c:pt>
                <c:pt idx="22">
                  <c:v>3870.9</c:v>
                </c:pt>
                <c:pt idx="23">
                  <c:v>3836.83</c:v>
                </c:pt>
                <c:pt idx="24">
                  <c:v>3830.5</c:v>
                </c:pt>
                <c:pt idx="25">
                  <c:v>3778.05</c:v>
                </c:pt>
                <c:pt idx="28">
                  <c:v>3784.32</c:v>
                </c:pt>
                <c:pt idx="29">
                  <c:v>3843.09</c:v>
                </c:pt>
                <c:pt idx="30">
                  <c:v>3847.51</c:v>
                </c:pt>
                <c:pt idx="31">
                  <c:v>3872.42</c:v>
                </c:pt>
                <c:pt idx="32">
                  <c:v>3894.56</c:v>
                </c:pt>
                <c:pt idx="35">
                  <c:v>3915.77</c:v>
                </c:pt>
                <c:pt idx="36">
                  <c:v>3918.35</c:v>
                </c:pt>
                <c:pt idx="37">
                  <c:v>3931.5</c:v>
                </c:pt>
                <c:pt idx="38">
                  <c:v>3925.99</c:v>
                </c:pt>
                <c:pt idx="39">
                  <c:v>3937.23</c:v>
                </c:pt>
                <c:pt idx="43">
                  <c:v>3950.43</c:v>
                </c:pt>
                <c:pt idx="44">
                  <c:v>3933.61</c:v>
                </c:pt>
                <c:pt idx="45">
                  <c:v>3921.98</c:v>
                </c:pt>
                <c:pt idx="46">
                  <c:v>3930.41</c:v>
                </c:pt>
                <c:pt idx="49">
                  <c:v>3902.92</c:v>
                </c:pt>
                <c:pt idx="50">
                  <c:v>3895.98</c:v>
                </c:pt>
                <c:pt idx="51">
                  <c:v>3928.65</c:v>
                </c:pt>
                <c:pt idx="52">
                  <c:v>3925.02</c:v>
                </c:pt>
                <c:pt idx="53">
                  <c:v>3861.08</c:v>
                </c:pt>
                <c:pt idx="56">
                  <c:v>3914.5</c:v>
                </c:pt>
                <c:pt idx="57">
                  <c:v>3906.41</c:v>
                </c:pt>
                <c:pt idx="58">
                  <c:v>3874.47</c:v>
                </c:pt>
                <c:pt idx="59">
                  <c:v>3843.67</c:v>
                </c:pt>
                <c:pt idx="60">
                  <c:v>3851.69</c:v>
                </c:pt>
                <c:pt idx="63">
                  <c:v>3881.06</c:v>
                </c:pt>
                <c:pt idx="64">
                  <c:v>3903.76</c:v>
                </c:pt>
                <c:pt idx="65">
                  <c:v>3917.35</c:v>
                </c:pt>
                <c:pt idx="66">
                  <c:v>3960.27</c:v>
                </c:pt>
                <c:pt idx="67">
                  <c:v>3944.99</c:v>
                </c:pt>
                <c:pt idx="70">
                  <c:v>3970.08</c:v>
                </c:pt>
                <c:pt idx="71">
                  <c:v>3981.04</c:v>
                </c:pt>
                <c:pt idx="72">
                  <c:v>3983.87</c:v>
                </c:pt>
                <c:pt idx="73">
                  <c:v>3969.62</c:v>
                </c:pt>
                <c:pt idx="74">
                  <c:v>3930.12</c:v>
                </c:pt>
                <c:pt idx="77">
                  <c:v>3955.31</c:v>
                </c:pt>
                <c:pt idx="78">
                  <c:v>3949.13</c:v>
                </c:pt>
                <c:pt idx="79">
                  <c:v>3942.08</c:v>
                </c:pt>
                <c:pt idx="80">
                  <c:v>3919.54</c:v>
                </c:pt>
                <c:pt idx="81">
                  <c:v>3978.19</c:v>
                </c:pt>
                <c:pt idx="84">
                  <c:v>3981.83</c:v>
                </c:pt>
                <c:pt idx="85">
                  <c:v>3968.01</c:v>
                </c:pt>
                <c:pt idx="86">
                  <c:v>3994.41</c:v>
                </c:pt>
                <c:pt idx="87">
                  <c:v>4020.63</c:v>
                </c:pt>
                <c:pt idx="91">
                  <c:v>4083.42</c:v>
                </c:pt>
                <c:pt idx="92">
                  <c:v>4086.23</c:v>
                </c:pt>
                <c:pt idx="93">
                  <c:v>4083.13</c:v>
                </c:pt>
                <c:pt idx="94">
                  <c:v>4098.1899999999996</c:v>
                </c:pt>
                <c:pt idx="95">
                  <c:v>4129.4799999999996</c:v>
                </c:pt>
                <c:pt idx="98">
                  <c:v>4131.76</c:v>
                </c:pt>
                <c:pt idx="99">
                  <c:v>4148</c:v>
                </c:pt>
                <c:pt idx="100">
                  <c:v>4151.6899999999996</c:v>
                </c:pt>
                <c:pt idx="101">
                  <c:v>4173.49</c:v>
                </c:pt>
                <c:pt idx="102">
                  <c:v>4191.3100000000004</c:v>
                </c:pt>
                <c:pt idx="105">
                  <c:v>4180.8100000000004</c:v>
                </c:pt>
                <c:pt idx="106">
                  <c:v>4159.18</c:v>
                </c:pt>
                <c:pt idx="107">
                  <c:v>4175.0200000000004</c:v>
                </c:pt>
                <c:pt idx="108">
                  <c:v>4179.57</c:v>
                </c:pt>
                <c:pt idx="109">
                  <c:v>4194.17</c:v>
                </c:pt>
                <c:pt idx="112">
                  <c:v>4194.1899999999996</c:v>
                </c:pt>
                <c:pt idx="113">
                  <c:v>4193.3500000000004</c:v>
                </c:pt>
                <c:pt idx="114">
                  <c:v>4201.53</c:v>
                </c:pt>
                <c:pt idx="115">
                  <c:v>4218.78</c:v>
                </c:pt>
                <c:pt idx="116">
                  <c:v>4198.1000000000004</c:v>
                </c:pt>
                <c:pt idx="119">
                  <c:v>4209.3900000000003</c:v>
                </c:pt>
                <c:pt idx="120">
                  <c:v>4179.04</c:v>
                </c:pt>
                <c:pt idx="121">
                  <c:v>4187.72</c:v>
                </c:pt>
                <c:pt idx="122">
                  <c:v>4202.7</c:v>
                </c:pt>
                <c:pt idx="123">
                  <c:v>4238.04</c:v>
                </c:pt>
                <c:pt idx="126">
                  <c:v>4236.3900000000003</c:v>
                </c:pt>
                <c:pt idx="127">
                  <c:v>4162.04</c:v>
                </c:pt>
                <c:pt idx="128">
                  <c:v>4134.7299999999996</c:v>
                </c:pt>
                <c:pt idx="129">
                  <c:v>4131.58</c:v>
                </c:pt>
                <c:pt idx="130">
                  <c:v>4183.13</c:v>
                </c:pt>
                <c:pt idx="133">
                  <c:v>4171.92</c:v>
                </c:pt>
                <c:pt idx="134">
                  <c:v>4169.1499999999996</c:v>
                </c:pt>
                <c:pt idx="135">
                  <c:v>4116.93</c:v>
                </c:pt>
                <c:pt idx="136">
                  <c:v>4172.8</c:v>
                </c:pt>
                <c:pt idx="137">
                  <c:v>4188.72</c:v>
                </c:pt>
                <c:pt idx="140">
                  <c:v>4209.5200000000004</c:v>
                </c:pt>
                <c:pt idx="141">
                  <c:v>4213.42</c:v>
                </c:pt>
                <c:pt idx="142">
                  <c:v>4202.6099999999997</c:v>
                </c:pt>
                <c:pt idx="143">
                  <c:v>4213.38</c:v>
                </c:pt>
                <c:pt idx="144">
                  <c:v>4218.3599999999997</c:v>
                </c:pt>
                <c:pt idx="148">
                  <c:v>4234.12</c:v>
                </c:pt>
                <c:pt idx="149">
                  <c:v>4217.37</c:v>
                </c:pt>
                <c:pt idx="150">
                  <c:v>4204.3900000000003</c:v>
                </c:pt>
                <c:pt idx="151">
                  <c:v>4233.45</c:v>
                </c:pt>
                <c:pt idx="154">
                  <c:v>4232.34</c:v>
                </c:pt>
                <c:pt idx="155">
                  <c:v>4236.74</c:v>
                </c:pt>
                <c:pt idx="156">
                  <c:v>4237.09</c:v>
                </c:pt>
                <c:pt idx="157">
                  <c:v>4249.74</c:v>
                </c:pt>
                <c:pt idx="158">
                  <c:v>4248.38</c:v>
                </c:pt>
                <c:pt idx="161">
                  <c:v>4255.59</c:v>
                </c:pt>
                <c:pt idx="162">
                  <c:v>4257.16</c:v>
                </c:pt>
                <c:pt idx="163">
                  <c:v>4251.8900000000003</c:v>
                </c:pt>
                <c:pt idx="164">
                  <c:v>4232.29</c:v>
                </c:pt>
                <c:pt idx="165">
                  <c:v>4204.78</c:v>
                </c:pt>
                <c:pt idx="168">
                  <c:v>4226.24</c:v>
                </c:pt>
                <c:pt idx="169">
                  <c:v>4255.84</c:v>
                </c:pt>
                <c:pt idx="170">
                  <c:v>4256.6000000000004</c:v>
                </c:pt>
                <c:pt idx="171">
                  <c:v>4271.28</c:v>
                </c:pt>
                <c:pt idx="172">
                  <c:v>4286.12</c:v>
                </c:pt>
                <c:pt idx="175">
                  <c:v>4292.1400000000003</c:v>
                </c:pt>
                <c:pt idx="176">
                  <c:v>4300.5200000000004</c:v>
                </c:pt>
                <c:pt idx="177">
                  <c:v>4302.43</c:v>
                </c:pt>
                <c:pt idx="178">
                  <c:v>4320.66</c:v>
                </c:pt>
                <c:pt idx="179">
                  <c:v>4355.43</c:v>
                </c:pt>
                <c:pt idx="183">
                  <c:v>4356.46</c:v>
                </c:pt>
                <c:pt idx="184">
                  <c:v>4361.88</c:v>
                </c:pt>
                <c:pt idx="185">
                  <c:v>4330.88</c:v>
                </c:pt>
                <c:pt idx="186">
                  <c:v>4371.6000000000004</c:v>
                </c:pt>
                <c:pt idx="189">
                  <c:v>4386.68</c:v>
                </c:pt>
                <c:pt idx="190">
                  <c:v>4392.37</c:v>
                </c:pt>
                <c:pt idx="191">
                  <c:v>4393.68</c:v>
                </c:pt>
                <c:pt idx="192">
                  <c:v>4369.0200000000004</c:v>
                </c:pt>
                <c:pt idx="193">
                  <c:v>4375.09</c:v>
                </c:pt>
                <c:pt idx="196">
                  <c:v>4296.3999999999996</c:v>
                </c:pt>
                <c:pt idx="197">
                  <c:v>4336.84</c:v>
                </c:pt>
                <c:pt idx="198">
                  <c:v>4359.7</c:v>
                </c:pt>
                <c:pt idx="199">
                  <c:v>4369.87</c:v>
                </c:pt>
                <c:pt idx="200">
                  <c:v>4415.18</c:v>
                </c:pt>
                <c:pt idx="203">
                  <c:v>4422.7299999999996</c:v>
                </c:pt>
                <c:pt idx="204">
                  <c:v>4416.38</c:v>
                </c:pt>
                <c:pt idx="205">
                  <c:v>4415.47</c:v>
                </c:pt>
                <c:pt idx="206">
                  <c:v>4429.97</c:v>
                </c:pt>
                <c:pt idx="207">
                  <c:v>4412.25</c:v>
                </c:pt>
                <c:pt idx="210">
                  <c:v>4422.18</c:v>
                </c:pt>
                <c:pt idx="211">
                  <c:v>4423.79</c:v>
                </c:pt>
                <c:pt idx="212">
                  <c:v>4416.17</c:v>
                </c:pt>
                <c:pt idx="213">
                  <c:v>4429.76</c:v>
                </c:pt>
                <c:pt idx="214">
                  <c:v>4440.82</c:v>
                </c:pt>
                <c:pt idx="217">
                  <c:v>4439.3900000000003</c:v>
                </c:pt>
                <c:pt idx="218">
                  <c:v>4445.21</c:v>
                </c:pt>
                <c:pt idx="219">
                  <c:v>4449.4399999999996</c:v>
                </c:pt>
                <c:pt idx="220">
                  <c:v>4461.7700000000004</c:v>
                </c:pt>
                <c:pt idx="221">
                  <c:v>4468.37</c:v>
                </c:pt>
                <c:pt idx="224">
                  <c:v>4480.26</c:v>
                </c:pt>
                <c:pt idx="225">
                  <c:v>4462.12</c:v>
                </c:pt>
                <c:pt idx="226">
                  <c:v>4454.32</c:v>
                </c:pt>
                <c:pt idx="227">
                  <c:v>4418.6099999999997</c:v>
                </c:pt>
                <c:pt idx="228">
                  <c:v>4444.3500000000004</c:v>
                </c:pt>
                <c:pt idx="231">
                  <c:v>4489.88</c:v>
                </c:pt>
                <c:pt idx="232">
                  <c:v>4492.8100000000004</c:v>
                </c:pt>
                <c:pt idx="233">
                  <c:v>4501.71</c:v>
                </c:pt>
                <c:pt idx="234">
                  <c:v>4495.8999999999996</c:v>
                </c:pt>
                <c:pt idx="235">
                  <c:v>4513.33</c:v>
                </c:pt>
                <c:pt idx="238">
                  <c:v>4537.3599999999997</c:v>
                </c:pt>
                <c:pt idx="239">
                  <c:v>4531.3900000000003</c:v>
                </c:pt>
                <c:pt idx="240">
                  <c:v>4537.1099999999997</c:v>
                </c:pt>
                <c:pt idx="241">
                  <c:v>4545.8500000000004</c:v>
                </c:pt>
                <c:pt idx="242">
                  <c:v>4541.45</c:v>
                </c:pt>
                <c:pt idx="246">
                  <c:v>4535.38</c:v>
                </c:pt>
                <c:pt idx="247">
                  <c:v>4521.79</c:v>
                </c:pt>
                <c:pt idx="248">
                  <c:v>4529.8999999999996</c:v>
                </c:pt>
                <c:pt idx="249">
                  <c:v>4520.47</c:v>
                </c:pt>
                <c:pt idx="252">
                  <c:v>4492.99</c:v>
                </c:pt>
                <c:pt idx="253">
                  <c:v>4485.68</c:v>
                </c:pt>
                <c:pt idx="254">
                  <c:v>4486.87</c:v>
                </c:pt>
                <c:pt idx="255">
                  <c:v>4485.87</c:v>
                </c:pt>
                <c:pt idx="256">
                  <c:v>4471.5200000000004</c:v>
                </c:pt>
                <c:pt idx="259">
                  <c:v>4402.95</c:v>
                </c:pt>
                <c:pt idx="260">
                  <c:v>4394.87</c:v>
                </c:pt>
                <c:pt idx="261">
                  <c:v>4416.75</c:v>
                </c:pt>
                <c:pt idx="262">
                  <c:v>4465.3999999999996</c:v>
                </c:pt>
                <c:pt idx="263">
                  <c:v>4463.12</c:v>
                </c:pt>
                <c:pt idx="266">
                  <c:v>4457.3</c:v>
                </c:pt>
                <c:pt idx="267">
                  <c:v>4419.54</c:v>
                </c:pt>
                <c:pt idx="268">
                  <c:v>4385.57</c:v>
                </c:pt>
                <c:pt idx="269">
                  <c:v>4382.55</c:v>
                </c:pt>
                <c:pt idx="270">
                  <c:v>4375.1899999999996</c:v>
                </c:pt>
                <c:pt idx="273">
                  <c:v>4355.51</c:v>
                </c:pt>
                <c:pt idx="274">
                  <c:v>4369.2299999999996</c:v>
                </c:pt>
                <c:pt idx="275">
                  <c:v>4365.57</c:v>
                </c:pt>
                <c:pt idx="276">
                  <c:v>4429.97</c:v>
                </c:pt>
                <c:pt idx="277">
                  <c:v>4412.0200000000004</c:v>
                </c:pt>
                <c:pt idx="280">
                  <c:v>4415.88</c:v>
                </c:pt>
                <c:pt idx="281">
                  <c:v>4374.8900000000003</c:v>
                </c:pt>
                <c:pt idx="282">
                  <c:v>4372.87</c:v>
                </c:pt>
                <c:pt idx="283">
                  <c:v>4439.7299999999996</c:v>
                </c:pt>
                <c:pt idx="284">
                  <c:v>4475.82</c:v>
                </c:pt>
                <c:pt idx="287">
                  <c:v>4488.75</c:v>
                </c:pt>
                <c:pt idx="288">
                  <c:v>4520.3999999999996</c:v>
                </c:pt>
                <c:pt idx="289">
                  <c:v>4540.87</c:v>
                </c:pt>
                <c:pt idx="290">
                  <c:v>4551.4399999999996</c:v>
                </c:pt>
                <c:pt idx="291">
                  <c:v>4559.67</c:v>
                </c:pt>
                <c:pt idx="294">
                  <c:v>4572.62</c:v>
                </c:pt>
                <c:pt idx="295">
                  <c:v>4598.53</c:v>
                </c:pt>
                <c:pt idx="296">
                  <c:v>4584.57</c:v>
                </c:pt>
                <c:pt idx="297">
                  <c:v>4597.55</c:v>
                </c:pt>
                <c:pt idx="298">
                  <c:v>4608.08</c:v>
                </c:pt>
                <c:pt idx="301">
                  <c:v>4620.34</c:v>
                </c:pt>
                <c:pt idx="302">
                  <c:v>4635.1499999999996</c:v>
                </c:pt>
                <c:pt idx="303">
                  <c:v>4663.46</c:v>
                </c:pt>
                <c:pt idx="304">
                  <c:v>4683</c:v>
                </c:pt>
                <c:pt idx="305">
                  <c:v>4718.5</c:v>
                </c:pt>
                <c:pt idx="308">
                  <c:v>4714.92</c:v>
                </c:pt>
                <c:pt idx="309">
                  <c:v>4708.53</c:v>
                </c:pt>
                <c:pt idx="310">
                  <c:v>4684.8500000000004</c:v>
                </c:pt>
                <c:pt idx="311">
                  <c:v>4664.55</c:v>
                </c:pt>
                <c:pt idx="312">
                  <c:v>4688.47</c:v>
                </c:pt>
                <c:pt idx="315">
                  <c:v>4697.42</c:v>
                </c:pt>
                <c:pt idx="316">
                  <c:v>4714.95</c:v>
                </c:pt>
                <c:pt idx="317">
                  <c:v>4701.5</c:v>
                </c:pt>
                <c:pt idx="318">
                  <c:v>4708.8</c:v>
                </c:pt>
                <c:pt idx="319">
                  <c:v>4717.75</c:v>
                </c:pt>
                <c:pt idx="322">
                  <c:v>4743.83</c:v>
                </c:pt>
                <c:pt idx="323">
                  <c:v>4699.3900000000003</c:v>
                </c:pt>
                <c:pt idx="324">
                  <c:v>4702.87</c:v>
                </c:pt>
                <c:pt idx="326">
                  <c:v>4664.63</c:v>
                </c:pt>
                <c:pt idx="329">
                  <c:v>4672.95</c:v>
                </c:pt>
                <c:pt idx="330">
                  <c:v>4646.0200000000004</c:v>
                </c:pt>
                <c:pt idx="331">
                  <c:v>4652.9399999999996</c:v>
                </c:pt>
                <c:pt idx="332">
                  <c:v>4595.46</c:v>
                </c:pt>
                <c:pt idx="333">
                  <c:v>4608.03</c:v>
                </c:pt>
                <c:pt idx="336">
                  <c:v>4612.6000000000004</c:v>
                </c:pt>
                <c:pt idx="337">
                  <c:v>4694.04</c:v>
                </c:pt>
                <c:pt idx="338">
                  <c:v>4705.0600000000004</c:v>
                </c:pt>
                <c:pt idx="339">
                  <c:v>4695.26</c:v>
                </c:pt>
                <c:pt idx="340">
                  <c:v>4713.57</c:v>
                </c:pt>
                <c:pt idx="343">
                  <c:v>4710.3</c:v>
                </c:pt>
                <c:pt idx="344">
                  <c:v>4660.47</c:v>
                </c:pt>
                <c:pt idx="345">
                  <c:v>4712.6000000000004</c:v>
                </c:pt>
                <c:pt idx="346">
                  <c:v>4731.99</c:v>
                </c:pt>
                <c:pt idx="347">
                  <c:v>4666.7</c:v>
                </c:pt>
                <c:pt idx="350">
                  <c:v>4587.8999999999996</c:v>
                </c:pt>
                <c:pt idx="351">
                  <c:v>4651.1400000000003</c:v>
                </c:pt>
                <c:pt idx="352">
                  <c:v>4697.67</c:v>
                </c:pt>
                <c:pt idx="353">
                  <c:v>4740.74</c:v>
                </c:pt>
                <c:pt idx="357">
                  <c:v>4791.49</c:v>
                </c:pt>
                <c:pt idx="358">
                  <c:v>4807.0200000000004</c:v>
                </c:pt>
                <c:pt idx="359">
                  <c:v>4804.0600000000004</c:v>
                </c:pt>
                <c:pt idx="360">
                  <c:v>4808.93</c:v>
                </c:pt>
                <c:pt idx="361">
                  <c:v>4786.83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B1-412F-A664-CE6866BF6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293071"/>
        <c:axId val="1033293551"/>
      </c:lineChart>
      <c:catAx>
        <c:axId val="10332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93551"/>
        <c:crosses val="autoZero"/>
        <c:auto val="1"/>
        <c:lblAlgn val="ctr"/>
        <c:lblOffset val="100"/>
        <c:noMultiLvlLbl val="0"/>
      </c:catAx>
      <c:valAx>
        <c:axId val="10332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2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6</xdr:row>
      <xdr:rowOff>9525</xdr:rowOff>
    </xdr:from>
    <xdr:to>
      <xdr:col>7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18ED5-8C4B-C4AF-67D0-E0FC7589C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14286</xdr:colOff>
      <xdr:row>6</xdr:row>
      <xdr:rowOff>190499</xdr:rowOff>
    </xdr:from>
    <xdr:to>
      <xdr:col>10</xdr:col>
      <xdr:colOff>9525</xdr:colOff>
      <xdr:row>24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A56D8-E564-F0B5-FBB2-B18645D3F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447676</xdr:colOff>
      <xdr:row>3</xdr:row>
      <xdr:rowOff>104775</xdr:rowOff>
    </xdr:from>
    <xdr:to>
      <xdr:col>12</xdr:col>
      <xdr:colOff>533400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73B43-CC73-43ED-B303-BC27739D5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840" refreshedDate="46069.843964814812" backgroundQuery="1" createdVersion="8" refreshedVersion="8" minRefreshableVersion="3" recordCount="0" supportSubquery="1" supportAdvancedDrill="1" xr:uid="{15F4C843-1704-42A1-88EA-CEC3D02CACE8}">
  <cacheSource type="external" connectionId="2"/>
  <cacheFields count="3">
    <cacheField name="[Measures].[Average of Close]" caption="Average of Close" numFmtId="0" hierarchy="11" level="32767"/>
    <cacheField name="[data  Open   Column3].[Column3].[Column3]" caption="Column3" numFmtId="0" hierarchy="7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  Open   Column3].[Column2].[Column2]" caption="Column2" numFmtId="0" hierarchy="6" level="1">
      <sharedItems count="2">
        <s v="BTCUSD"/>
        <s v="SP500"/>
      </sharedItems>
    </cacheField>
  </cacheFields>
  <cacheHierarchies count="12">
    <cacheHierarchy uniqueName="[data  Open   Column3].[Open]" caption="Open" attribute="1" defaultMemberUniqueName="[data  Open   Column3].[Open].[All]" allUniqueName="[data  Open   Column3].[Open].[All]" dimensionUniqueName="[data  Open   Column3]" displayFolder="" count="0" memberValueDatatype="5" unbalanced="0"/>
    <cacheHierarchy uniqueName="[data  Open   Column3].[High]" caption="High" attribute="1" defaultMemberUniqueName="[data  Open   Column3].[High].[All]" allUniqueName="[data  Open   Column3].[High].[All]" dimensionUniqueName="[data  Open   Column3]" displayFolder="" count="0" memberValueDatatype="5" unbalanced="0"/>
    <cacheHierarchy uniqueName="[data  Open   Column3].[Low]" caption="Low" attribute="1" defaultMemberUniqueName="[data  Open   Column3].[Low].[All]" allUniqueName="[data  Open   Column3].[Low].[All]" dimensionUniqueName="[data  Open   Column3]" displayFolder="" count="0" memberValueDatatype="5" unbalanced="0"/>
    <cacheHierarchy uniqueName="[data  Open   Column3].[Close]" caption="Close" attribute="1" defaultMemberUniqueName="[data  Open   Column3].[Close].[All]" allUniqueName="[data  Open   Column3].[Close].[All]" dimensionUniqueName="[data  Open   Column3]" displayFolder="" count="0" memberValueDatatype="5" unbalanced="0"/>
    <cacheHierarchy uniqueName="[data  Open   Column3].[Volume]" caption="Volume" attribute="1" defaultMemberUniqueName="[data  Open   Column3].[Volume].[All]" allUniqueName="[data  Open   Column3].[Volume].[All]" dimensionUniqueName="[data  Open   Column3]" displayFolder="" count="0" memberValueDatatype="5" unbalanced="0"/>
    <cacheHierarchy uniqueName="[data  Open   Column3].[Column1]" caption="Column1" attribute="1" defaultMemberUniqueName="[data  Open   Column3].[Column1].[All]" allUniqueName="[data  Open   Column3].[Column1].[All]" dimensionUniqueName="[data  Open   Column3]" displayFolder="" count="2" memberValueDatatype="130" unbalanced="0"/>
    <cacheHierarchy uniqueName="[data  Open   Column3].[Column2]" caption="Column2" attribute="1" defaultMemberUniqueName="[data  Open   Column3].[Column2].[All]" allUniqueName="[data  Open   Column3].[Column2].[All]" dimensionUniqueName="[data  Open   Column3]" displayFolder="" count="2" memberValueDatatype="130" unbalanced="0">
      <fieldsUsage count="2">
        <fieldUsage x="-1"/>
        <fieldUsage x="2"/>
      </fieldsUsage>
    </cacheHierarchy>
    <cacheHierarchy uniqueName="[data  Open   Column3].[Column3]" caption="Column3" attribute="1" defaultMemberUniqueName="[data  Open   Column3].[Column3].[All]" allUniqueName="[data  Open   Column3].[Column3].[All]" dimensionUniqueName="[data  Open   Column3]" displayFolder="" count="2" memberValueDatatype="130" unbalanced="0">
      <fieldsUsage count="2">
        <fieldUsage x="-1"/>
        <fieldUsage x="1"/>
      </fieldsUsage>
    </cacheHierarchy>
    <cacheHierarchy uniqueName="[Measures].[__XL_Count data  Open   Column3]" caption="__XL_Count data  Open   Column3" measure="1" displayFolder="" measureGroup="data  Open   Column3" count="0" hidden="1"/>
    <cacheHierarchy uniqueName="[Measures].[__No measures defined]" caption="__No measures defined" measure="1" displayFolder="" count="0" hidden="1"/>
    <cacheHierarchy uniqueName="[Measures].[Sum of Close]" caption="Sum of Close" measure="1" displayFolder="" measureGroup="data  Open   Column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Close]" caption="Average of Close" measure="1" displayFolder="" measureGroup="data  Open   Column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data  Open   Column3" uniqueName="[data  Open   Column3]" caption="data  Open   Column3"/>
    <dimension measure="1" name="Measures" uniqueName="[Measures]" caption="Measures"/>
  </dimensions>
  <measureGroups count="1">
    <measureGroup name="data  Open   Column3" caption="data  Open   Column3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840" refreshedDate="46069.868504166669" createdVersion="8" refreshedVersion="8" minRefreshableVersion="3" recordCount="615" xr:uid="{D38C1135-B297-42CF-9C11-046EC7D4BB8C}">
  <cacheSource type="worksheet">
    <worksheetSource ref="A1:J1048576" sheet="data"/>
  </cacheSource>
  <cacheFields count="12">
    <cacheField name="Date" numFmtId="0">
      <sharedItems containsNonDate="0" containsDate="1" containsString="0" containsBlank="1" minDate="2021-01-04T00:00:00" maxDate="2022-01-01T00:00:00" count="363">
        <d v="2021-12-30T00:00:00"/>
        <d v="2021-12-28T00:00:00"/>
        <d v="2021-12-29T00:00:00"/>
        <d v="2021-12-27T00:00:00"/>
        <d v="2021-12-31T00:00:00"/>
        <d v="2021-11-22T00:00:00"/>
        <d v="2021-12-23T00:00:00"/>
        <d v="2021-12-16T00:00:00"/>
        <d v="2021-11-05T00:00:00"/>
        <d v="2021-11-19T00:00:00"/>
        <d v="2021-11-16T00:00:00"/>
        <d v="2021-11-08T00:00:00"/>
        <d v="2021-12-10T00:00:00"/>
        <d v="2021-12-15T00:00:00"/>
        <d v="2021-12-13T00:00:00"/>
        <d v="2021-11-18T00:00:00"/>
        <d v="2021-11-09T00:00:00"/>
        <d v="2021-12-08T00:00:00"/>
        <d v="2021-11-24T00:00:00"/>
        <d v="2021-11-17T00:00:00"/>
        <d v="2021-11-23T00:00:00"/>
        <d v="2021-12-22T00:00:00"/>
        <d v="2021-11-15T00:00:00"/>
        <d v="2021-12-09T00:00:00"/>
        <d v="2021-12-07T00:00:00"/>
        <d v="2021-11-12T00:00:00"/>
        <d v="2021-11-10T00:00:00"/>
        <d v="2021-11-04T00:00:00"/>
        <d v="2021-11-29T00:00:00"/>
        <d v="2021-12-17T00:00:00"/>
        <d v="2021-11-26T00:00:00"/>
        <d v="2021-11-11T00:00:00"/>
        <d v="2021-11-03T00:00:00"/>
        <d v="2021-12-14T00:00:00"/>
        <d v="2021-12-01T00:00:00"/>
        <d v="2021-12-21T00:00:00"/>
        <d v="2021-11-30T00:00:00"/>
        <d v="2021-11-02T00:00:00"/>
        <d v="2021-11-01T00:00:00"/>
        <d v="2021-12-06T00:00:00"/>
        <d v="2021-10-29T00:00:00"/>
        <d v="2021-12-03T00:00:00"/>
        <d v="2021-10-26T00:00:00"/>
        <d v="2021-10-28T00:00:00"/>
        <d v="2021-12-02T00:00:00"/>
        <d v="2021-12-20T00:00:00"/>
        <d v="2021-10-27T00:00:00"/>
        <d v="2021-10-25T00:00:00"/>
        <d v="2021-10-22T00:00:00"/>
        <d v="2021-10-21T00:00:00"/>
        <d v="2021-09-02T00:00:00"/>
        <d v="2021-09-03T00:00:00"/>
        <d v="2021-10-20T00:00:00"/>
        <d v="2021-08-30T00:00:00"/>
        <d v="2021-09-01T00:00:00"/>
        <d v="2021-09-07T00:00:00"/>
        <d v="2021-08-31T00:00:00"/>
        <d v="2021-09-09T00:00:00"/>
        <d v="2021-09-08T00:00:00"/>
        <d v="2021-09-10T00:00:00"/>
        <d v="2021-10-19T00:00:00"/>
        <d v="2021-08-27T00:00:00"/>
        <d v="2021-08-25T00:00:00"/>
        <d v="2021-08-26T00:00:00"/>
        <d v="2021-09-13T00:00:00"/>
        <d v="2021-08-24T00:00:00"/>
        <d v="2021-08-23T00:00:00"/>
        <d v="2021-10-18T00:00:00"/>
        <d v="2021-09-15T00:00:00"/>
        <d v="2021-09-16T00:00:00"/>
        <d v="2021-09-14T00:00:00"/>
        <d v="2021-08-16T00:00:00"/>
        <d v="2021-10-15T00:00:00"/>
        <d v="2021-09-17T00:00:00"/>
        <d v="2021-08-13T00:00:00"/>
        <d v="2021-09-23T00:00:00"/>
        <d v="2021-09-24T00:00:00"/>
        <d v="2021-08-17T00:00:00"/>
        <d v="2021-08-12T00:00:00"/>
        <d v="2021-09-27T00:00:00"/>
        <d v="2021-08-18T00:00:00"/>
        <d v="2021-08-11T00:00:00"/>
        <d v="2021-08-10T00:00:00"/>
        <d v="2021-08-20T00:00:00"/>
        <d v="2021-08-06T00:00:00"/>
        <d v="2021-10-14T00:00:00"/>
        <d v="2021-08-09T00:00:00"/>
        <d v="2021-10-07T00:00:00"/>
        <d v="2021-07-29T00:00:00"/>
        <d v="2021-08-05T00:00:00"/>
        <d v="2021-08-03T00:00:00"/>
        <d v="2021-07-26T00:00:00"/>
        <d v="2021-08-02T00:00:00"/>
        <d v="2021-09-28T00:00:00"/>
        <d v="2021-08-19T00:00:00"/>
        <d v="2021-09-22T00:00:00"/>
        <d v="2021-07-27T00:00:00"/>
        <d v="2021-08-04T00:00:00"/>
        <d v="2021-10-11T00:00:00"/>
        <d v="2021-07-28T00:00:00"/>
        <d v="2021-07-23T00:00:00"/>
        <d v="2021-07-30T00:00:00"/>
        <d v="2021-10-08T00:00:00"/>
        <d v="2021-09-20T00:00:00"/>
        <d v="2021-09-21T00:00:00"/>
        <d v="2021-07-14T00:00:00"/>
        <d v="2021-07-13T00:00:00"/>
        <d v="2021-07-12T00:00:00"/>
        <d v="2021-09-29T00:00:00"/>
        <d v="2021-09-30T00:00:00"/>
        <d v="2021-10-01T00:00:00"/>
        <d v="2021-07-16T00:00:00"/>
        <d v="2021-10-12T00:00:00"/>
        <d v="2021-10-13T00:00:00"/>
        <d v="2021-07-09T00:00:00"/>
        <d v="2021-07-22T00:00:00"/>
        <d v="2021-10-05T00:00:00"/>
        <d v="2021-07-15T00:00:00"/>
        <d v="2021-10-06T00:00:00"/>
        <d v="2021-07-07T00:00:00"/>
        <d v="2021-07-21T00:00:00"/>
        <d v="2021-07-06T00:00:00"/>
        <d v="2021-10-04T00:00:00"/>
        <d v="2021-07-02T00:00:00"/>
        <d v="2021-07-20T00:00:00"/>
        <d v="2021-07-08T00:00:00"/>
        <d v="2021-07-01T00:00:00"/>
        <d v="2021-06-30T00:00:00"/>
        <d v="2021-06-29T00:00:00"/>
        <d v="2021-07-19T00:00:00"/>
        <d v="2021-06-28T00:00:00"/>
        <d v="2021-06-25T00:00:00"/>
        <d v="2021-06-24T00:00:00"/>
        <d v="2021-06-15T00:00:00"/>
        <d v="2021-06-23T00:00:00"/>
        <d v="2021-06-22T00:00:00"/>
        <d v="2021-06-14T00:00:00"/>
        <d v="2021-06-16T00:00:00"/>
        <d v="2021-06-10T00:00:00"/>
        <d v="2021-06-11T00:00:00"/>
        <d v="2021-05-07T00:00:00"/>
        <d v="2021-06-09T00:00:00"/>
        <d v="2021-06-08T00:00:00"/>
        <d v="2021-05-10T00:00:00"/>
        <d v="2021-06-01T00:00:00"/>
        <d v="2021-06-04T00:00:00"/>
        <d v="2021-06-07T00:00:00"/>
        <d v="2021-06-17T00:00:00"/>
        <d v="2021-06-21T00:00:00"/>
        <d v="2021-04-29T00:00:00"/>
        <d v="2021-05-28T00:00:00"/>
        <d v="2021-06-02T00:00:00"/>
        <d v="2021-05-25T00:00:00"/>
        <d v="2021-05-27T00:00:00"/>
        <d v="2021-05-24T00:00:00"/>
        <d v="2021-05-03T00:00:00"/>
        <d v="2021-06-18T00:00:00"/>
        <d v="2021-06-03T00:00:00"/>
        <d v="2021-05-06T00:00:00"/>
        <d v="2021-05-26T00:00:00"/>
        <d v="2021-04-28T00:00:00"/>
        <d v="2021-04-30T00:00:00"/>
        <d v="2021-04-26T00:00:00"/>
        <d v="2021-04-23T00:00:00"/>
        <d v="2021-04-27T00:00:00"/>
        <d v="2021-04-16T00:00:00"/>
        <d v="2021-05-21T00:00:00"/>
        <d v="2021-05-05T00:00:00"/>
        <d v="2021-05-14T00:00:00"/>
        <d v="2021-04-19T00:00:00"/>
        <d v="2021-04-22T00:00:00"/>
        <d v="2021-05-04T00:00:00"/>
        <d v="2021-04-21T00:00:00"/>
        <d v="2021-04-15T00:00:00"/>
        <d v="2021-05-20T00:00:00"/>
        <d v="2021-05-17T00:00:00"/>
        <d v="2021-05-18T00:00:00"/>
        <d v="2021-05-11T00:00:00"/>
        <d v="2021-04-20T00:00:00"/>
        <d v="2021-04-14T00:00:00"/>
        <d v="2021-04-13T00:00:00"/>
        <d v="2021-05-12T00:00:00"/>
        <d v="2021-04-12T00:00:00"/>
        <d v="2021-05-13T00:00:00"/>
        <d v="2021-04-09T00:00:00"/>
        <d v="2021-05-19T00:00:00"/>
        <d v="2021-04-08T00:00:00"/>
        <d v="2021-04-06T00:00:00"/>
        <d v="2021-04-05T00:00:00"/>
        <d v="2021-04-07T00:00:00"/>
        <d v="2021-04-01T00:00:00"/>
        <d v="2021-03-31T00:00:00"/>
        <d v="2021-03-17T00:00:00"/>
        <d v="2021-03-29T00:00:00"/>
        <d v="2021-03-16T00:00:00"/>
        <d v="2021-03-26T00:00:00"/>
        <d v="2021-03-15T00:00:00"/>
        <d v="2021-03-18T00:00:00"/>
        <d v="2021-03-30T00:00:00"/>
        <d v="2021-03-11T00:00:00"/>
        <d v="2021-03-22T00:00:00"/>
        <d v="2021-02-16T00:00:00"/>
        <d v="2021-03-23T00:00:00"/>
        <d v="2021-03-12T00:00:00"/>
        <d v="2021-03-24T00:00:00"/>
        <d v="2021-02-12T00:00:00"/>
        <d v="2021-02-17T00:00:00"/>
        <d v="2021-02-10T00:00:00"/>
        <d v="2021-02-19T00:00:00"/>
        <d v="2021-03-19T00:00:00"/>
        <d v="2021-02-24T00:00:00"/>
        <d v="2021-02-11T00:00:00"/>
        <d v="2021-02-25T00:00:00"/>
        <d v="2021-02-18T00:00:00"/>
        <d v="2021-03-25T00:00:00"/>
        <d v="2021-02-09T00:00:00"/>
        <d v="2021-03-10T00:00:00"/>
        <d v="2021-02-08T00:00:00"/>
        <d v="2021-03-01T00:00:00"/>
        <d v="2021-03-02T00:00:00"/>
        <d v="2021-03-09T00:00:00"/>
        <d v="2021-02-22T00:00:00"/>
        <d v="2021-02-23T00:00:00"/>
        <d v="2021-02-05T00:00:00"/>
        <d v="2021-03-08T00:00:00"/>
        <d v="2021-03-03T00:00:00"/>
        <d v="2021-02-04T00:00:00"/>
        <d v="2021-01-26T00:00:00"/>
        <d v="2021-01-21T00:00:00"/>
        <d v="2021-02-26T00:00:00"/>
        <d v="2021-01-20T00:00:00"/>
        <d v="2021-01-25T00:00:00"/>
        <d v="2021-01-22T00:00:00"/>
        <d v="2021-03-05T00:00:00"/>
        <d v="2021-02-03T00:00:00"/>
        <d v="2021-03-04T00:00:00"/>
        <d v="2021-02-02T00:00:00"/>
        <d v="2021-01-27T00:00:00"/>
        <d v="2021-01-28T00:00:00"/>
        <d v="2021-01-08T00:00:00"/>
        <d v="2021-01-14T00:00:00"/>
        <d v="2021-01-13T00:00:00"/>
        <d v="2021-01-11T00:00:00"/>
        <d v="2021-01-07T00:00:00"/>
        <d v="2021-01-12T00:00:00"/>
        <d v="2021-01-19T00:00:00"/>
        <d v="2021-01-15T00:00:00"/>
        <d v="2021-02-01T00:00:00"/>
        <d v="2021-01-06T00:00:00"/>
        <d v="2021-01-29T00:00:00"/>
        <d v="2021-01-04T00:00:00"/>
        <d v="2021-01-05T00:00:00"/>
        <d v="2021-06-26T00:00:00"/>
        <d v="2021-01-24T00:00:00"/>
        <d v="2021-05-23T00:00:00"/>
        <d v="2021-07-18T00:00:00"/>
        <d v="2021-07-17T00:00:00"/>
        <d v="2021-01-23T00:00:00"/>
        <d v="2021-01-31T00:00:00"/>
        <d v="2021-06-27T00:00:00"/>
        <d v="2021-07-10T00:00:00"/>
        <d v="2021-07-05T00:00:00"/>
        <d v="2021-01-10T00:00:00"/>
        <d v="2021-01-30T00:00:00"/>
        <d v="2021-07-11T00:00:00"/>
        <d v="2021-06-20T00:00:00"/>
        <d v="2021-05-29T00:00:00"/>
        <d v="2021-07-03T00:00:00"/>
        <d v="2021-07-24T00:00:00"/>
        <d v="2021-01-17T00:00:00"/>
        <d v="2021-07-25T00:00:00"/>
        <d v="2021-05-31T00:00:00"/>
        <d v="2021-07-04T00:00:00"/>
        <d v="2021-05-30T00:00:00"/>
        <d v="2021-06-12T00:00:00"/>
        <d v="2021-01-18T00:00:00"/>
        <d v="2021-06-13T00:00:00"/>
        <d v="2021-06-05T00:00:00"/>
        <d v="2021-06-19T00:00:00"/>
        <d v="2021-06-06T00:00:00"/>
        <d v="2021-05-22T00:00:00"/>
        <d v="2021-01-16T00:00:00"/>
        <d v="2021-02-07T00:00:00"/>
        <d v="2021-02-06T00:00:00"/>
        <d v="2021-01-09T00:00:00"/>
        <d v="2021-08-01T00:00:00"/>
        <d v="2021-09-26T00:00:00"/>
        <d v="2021-07-31T00:00:00"/>
        <d v="2021-09-25T00:00:00"/>
        <d v="2021-12-04T00:00:00"/>
        <d v="2021-08-07T00:00:00"/>
        <d v="2021-05-16T00:00:00"/>
        <d v="2021-08-08T00:00:00"/>
        <d v="2021-02-28T00:00:00"/>
        <d v="2021-02-27T00:00:00"/>
        <d v="2021-09-12T00:00:00"/>
        <d v="2021-09-11T00:00:00"/>
        <d v="2021-09-19T00:00:00"/>
        <d v="2021-08-15T00:00:00"/>
        <d v="2021-02-14T00:00:00"/>
        <d v="2021-08-14T00:00:00"/>
        <d v="2021-12-18T00:00:00"/>
        <d v="2021-12-19T00:00:00"/>
        <d v="2021-02-13T00:00:00"/>
        <d v="2021-02-15T00:00:00"/>
        <d v="2021-05-15T00:00:00"/>
        <d v="2021-04-25T00:00:00"/>
        <d v="2021-03-06T00:00:00"/>
        <d v="2021-10-02T00:00:00"/>
        <d v="2021-10-03T00:00:00"/>
        <d v="2021-09-18T00:00:00"/>
        <d v="2021-08-29T00:00:00"/>
        <d v="2021-12-11T00:00:00"/>
        <d v="2021-12-05T00:00:00"/>
        <d v="2021-08-22T00:00:00"/>
        <d v="2021-08-28T00:00:00"/>
        <d v="2021-08-21T00:00:00"/>
        <d v="2021-12-12T00:00:00"/>
        <d v="2021-04-24T00:00:00"/>
        <d v="2021-03-07T00:00:00"/>
        <d v="2021-09-04T00:00:00"/>
        <d v="2021-12-26T00:00:00"/>
        <d v="2021-09-05T00:00:00"/>
        <d v="2021-12-25T00:00:00"/>
        <d v="2021-12-24T00:00:00"/>
        <d v="2021-04-17T00:00:00"/>
        <d v="2021-09-06T00:00:00"/>
        <d v="2021-04-18T00:00:00"/>
        <d v="2021-11-28T00:00:00"/>
        <d v="2021-11-27T00:00:00"/>
        <d v="2021-03-27T00:00:00"/>
        <d v="2021-02-20T00:00:00"/>
        <d v="2021-10-09T00:00:00"/>
        <d v="2021-10-10T00:00:00"/>
        <d v="2021-03-28T00:00:00"/>
        <d v="2021-03-21T00:00:00"/>
        <d v="2021-02-21T00:00:00"/>
        <d v="2021-05-02T00:00:00"/>
        <d v="2021-05-09T00:00:00"/>
        <d v="2021-03-13T00:00:00"/>
        <d v="2021-05-01T00:00:00"/>
        <d v="2021-04-03T00:00:00"/>
        <d v="2021-04-04T00:00:00"/>
        <d v="2021-11-21T00:00:00"/>
        <d v="2021-11-25T00:00:00"/>
        <d v="2021-11-20T00:00:00"/>
        <d v="2021-03-20T00:00:00"/>
        <d v="2021-05-08T00:00:00"/>
        <d v="2021-04-10T00:00:00"/>
        <d v="2021-04-02T00:00:00"/>
        <d v="2021-03-14T00:00:00"/>
        <d v="2021-10-17T00:00:00"/>
        <d v="2021-04-11T00:00:00"/>
        <d v="2021-10-24T00:00:00"/>
        <d v="2021-10-23T00:00:00"/>
        <d v="2021-10-31T00:00:00"/>
        <d v="2021-11-06T00:00:00"/>
        <d v="2021-10-16T00:00:00"/>
        <d v="2021-10-30T00:00:00"/>
        <d v="2021-11-07T00:00:00"/>
        <d v="2021-11-13T00:00:00"/>
        <d v="2021-11-14T00:00:00"/>
        <m/>
      </sharedItems>
      <fieldGroup par="11"/>
    </cacheField>
    <cacheField name="Month" numFmtId="0">
      <sharedItems containsBlank="1"/>
    </cacheField>
    <cacheField name="Symbol" numFmtId="0">
      <sharedItems containsBlank="1"/>
    </cacheField>
    <cacheField name="Open" numFmtId="0">
      <sharedItems containsString="0" containsBlank="1" containsNumber="1" minValue="3698.02" maxValue="68525.75"/>
    </cacheField>
    <cacheField name="High" numFmtId="0">
      <sharedItems containsString="0" containsBlank="1" containsNumber="1" minValue="3737.83" maxValue="69000"/>
    </cacheField>
    <cacheField name="Low" numFmtId="0">
      <sharedItems containsString="0" containsBlank="1" containsNumber="1" minValue="3662.71" maxValue="66262.48"/>
    </cacheField>
    <cacheField name="Close" numFmtId="0">
      <sharedItems containsString="0" containsBlank="1" containsNumber="1" minValue="3700.65" maxValue="68525.75"/>
    </cacheField>
    <cacheField name="Volume" numFmtId="0">
      <sharedItems containsString="0" containsBlank="1" containsNumber="1" minValue="288.3" maxValue="9878040000"/>
    </cacheField>
    <cacheField name="Cleaned Symbol" numFmtId="0">
      <sharedItems containsBlank="1" count="3">
        <s v="SP500"/>
        <s v="BTCUSD"/>
        <m/>
      </sharedItems>
    </cacheField>
    <cacheField name="Cleaned Month" numFmtId="0">
      <sharedItems containsBlank="1"/>
    </cacheField>
    <cacheField name="Days (Date)" numFmtId="0" databaseField="0">
      <fieldGroup base="0">
        <rangePr groupBy="days" startDate="2021-01-04T00:00:00" endDate="2022-01-01T00:00:00"/>
        <groupItems count="368">
          <s v="&lt;04-01-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2"/>
        </groupItems>
      </fieldGroup>
    </cacheField>
    <cacheField name="Months (Date)" numFmtId="0" databaseField="0">
      <fieldGroup base="0">
        <rangePr groupBy="months" startDate="2021-01-04T00:00:00" endDate="2022-01-01T00:00:00"/>
        <groupItems count="14">
          <s v="&lt;04-01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">
  <r>
    <x v="0"/>
    <s v="December"/>
    <s v="SP500"/>
    <n v="4794.2299999999996"/>
    <n v="4808.93"/>
    <n v="4775.33"/>
    <n v="4778.7299999999996"/>
    <n v="2390990000"/>
    <x v="0"/>
    <s v="Dec"/>
  </r>
  <r>
    <x v="1"/>
    <s v="December"/>
    <s v="SP500"/>
    <n v="4795.49"/>
    <n v="4807.0200000000004"/>
    <n v="4780.04"/>
    <n v="4786.3500000000004"/>
    <n v="2217050000"/>
    <x v="0"/>
    <s v="Dec"/>
  </r>
  <r>
    <x v="2"/>
    <s v="December"/>
    <s v="SP500"/>
    <n v="4788.6400000000003"/>
    <n v="4804.0600000000004"/>
    <n v="4778.08"/>
    <n v="4793.0600000000004"/>
    <n v="2369370000"/>
    <x v="0"/>
    <s v="Dec"/>
  </r>
  <r>
    <x v="3"/>
    <s v="December"/>
    <s v="SP500"/>
    <n v="4733.99"/>
    <n v="4791.49"/>
    <n v="4733.99"/>
    <n v="4791.1899999999996"/>
    <n v="2264120000"/>
    <x v="0"/>
    <s v="Dec"/>
  </r>
  <r>
    <x v="4"/>
    <s v="December"/>
    <s v="SP500"/>
    <n v="4775.21"/>
    <n v="4786.83"/>
    <n v="4765.75"/>
    <n v="4766.18"/>
    <n v="2446190000"/>
    <x v="0"/>
    <s v="Dec"/>
  </r>
  <r>
    <x v="5"/>
    <s v="November"/>
    <s v="SP500"/>
    <n v="4712"/>
    <n v="4743.83"/>
    <n v="4682.17"/>
    <n v="4682.9399999999996"/>
    <n v="3206280000"/>
    <x v="0"/>
    <s v="Nov"/>
  </r>
  <r>
    <x v="6"/>
    <s v="December"/>
    <s v="SP500"/>
    <n v="4703.96"/>
    <n v="4740.74"/>
    <n v="4703.96"/>
    <n v="4725.79"/>
    <n v="2194630000"/>
    <x v="0"/>
    <s v="Dec"/>
  </r>
  <r>
    <x v="7"/>
    <s v="December"/>
    <s v="SP500"/>
    <n v="4719.13"/>
    <n v="4731.99"/>
    <n v="4651.8900000000003"/>
    <n v="4668.67"/>
    <n v="3592810000"/>
    <x v="0"/>
    <s v="Dec"/>
  </r>
  <r>
    <x v="8"/>
    <s v="November"/>
    <s v="SP500"/>
    <n v="4699.26"/>
    <n v="4718.5"/>
    <n v="4681.32"/>
    <n v="4697.53"/>
    <n v="3491150000"/>
    <x v="0"/>
    <s v="Nov"/>
  </r>
  <r>
    <x v="9"/>
    <s v="November"/>
    <s v="SP500"/>
    <n v="4708.4399999999996"/>
    <n v="4717.75"/>
    <n v="4694.22"/>
    <n v="4697.96"/>
    <n v="3265600000"/>
    <x v="0"/>
    <s v="Nov"/>
  </r>
  <r>
    <x v="10"/>
    <s v="November"/>
    <s v="SP500"/>
    <n v="4679.42"/>
    <n v="4714.95"/>
    <n v="4679.42"/>
    <n v="4700.8999999999996"/>
    <n v="2838210000"/>
    <x v="0"/>
    <s v="Nov"/>
  </r>
  <r>
    <x v="11"/>
    <s v="November"/>
    <s v="SP500"/>
    <n v="4701.4799999999996"/>
    <n v="4714.92"/>
    <n v="4694.3900000000003"/>
    <n v="4701.7"/>
    <n v="3465720000"/>
    <x v="0"/>
    <s v="Nov"/>
  </r>
  <r>
    <x v="12"/>
    <s v="December"/>
    <s v="SP500"/>
    <n v="4687.6400000000003"/>
    <n v="4713.57"/>
    <n v="4670.24"/>
    <n v="4712.0200000000004"/>
    <n v="2858310000"/>
    <x v="0"/>
    <s v="Dec"/>
  </r>
  <r>
    <x v="13"/>
    <s v="December"/>
    <s v="SP500"/>
    <n v="4636.46"/>
    <n v="4712.6000000000004"/>
    <n v="4611.22"/>
    <n v="4709.8500000000004"/>
    <n v="3367580000"/>
    <x v="0"/>
    <s v="Dec"/>
  </r>
  <r>
    <x v="14"/>
    <s v="December"/>
    <s v="SP500"/>
    <n v="4710.3"/>
    <n v="4710.3"/>
    <n v="4667.6000000000004"/>
    <n v="4668.97"/>
    <n v="3322050000"/>
    <x v="0"/>
    <s v="Dec"/>
  </r>
  <r>
    <x v="15"/>
    <s v="November"/>
    <s v="SP500"/>
    <n v="4700.72"/>
    <n v="4708.8"/>
    <n v="4672.78"/>
    <n v="4704.54"/>
    <n v="3335620000"/>
    <x v="0"/>
    <s v="Nov"/>
  </r>
  <r>
    <x v="16"/>
    <s v="November"/>
    <s v="SP500"/>
    <n v="4707.25"/>
    <n v="4708.53"/>
    <n v="4670.87"/>
    <n v="4685.25"/>
    <n v="3110230000"/>
    <x v="0"/>
    <s v="Nov"/>
  </r>
  <r>
    <x v="17"/>
    <s v="December"/>
    <s v="SP500"/>
    <n v="4690.8599999999997"/>
    <n v="4705.0600000000004"/>
    <n v="4674.5200000000004"/>
    <n v="4701.21"/>
    <n v="3061550000"/>
    <x v="0"/>
    <s v="Dec"/>
  </r>
  <r>
    <x v="18"/>
    <s v="November"/>
    <s v="SP500"/>
    <n v="4675.78"/>
    <n v="4702.87"/>
    <n v="4659.8900000000003"/>
    <n v="4701.46"/>
    <n v="2464040000"/>
    <x v="0"/>
    <s v="Nov"/>
  </r>
  <r>
    <x v="19"/>
    <s v="November"/>
    <s v="SP500"/>
    <n v="4701.5"/>
    <n v="4701.5"/>
    <n v="4684.41"/>
    <n v="4688.67"/>
    <n v="3221250000"/>
    <x v="0"/>
    <s v="Nov"/>
  </r>
  <r>
    <x v="20"/>
    <s v="November"/>
    <s v="SP500"/>
    <n v="4678.4799999999996"/>
    <n v="4699.3900000000003"/>
    <n v="4652.66"/>
    <n v="4690.7"/>
    <n v="3428780000"/>
    <x v="0"/>
    <s v="Nov"/>
  </r>
  <r>
    <x v="21"/>
    <s v="December"/>
    <s v="SP500"/>
    <n v="4650.3599999999997"/>
    <n v="4697.67"/>
    <n v="4645.53"/>
    <n v="4696.5600000000004"/>
    <n v="2439570000"/>
    <x v="0"/>
    <s v="Dec"/>
  </r>
  <r>
    <x v="22"/>
    <s v="November"/>
    <s v="SP500"/>
    <n v="4689.3"/>
    <n v="4697.42"/>
    <n v="4672.8599999999997"/>
    <n v="4682.8"/>
    <n v="2618980000"/>
    <x v="0"/>
    <s v="Nov"/>
  </r>
  <r>
    <x v="23"/>
    <s v="December"/>
    <s v="SP500"/>
    <n v="4691"/>
    <n v="4695.26"/>
    <n v="4665.9799999999996"/>
    <n v="4667.45"/>
    <n v="2851660000"/>
    <x v="0"/>
    <s v="Dec"/>
  </r>
  <r>
    <x v="24"/>
    <s v="December"/>
    <s v="SP500"/>
    <n v="4631.97"/>
    <n v="4694.04"/>
    <n v="4631.97"/>
    <n v="4686.75"/>
    <n v="3334320000"/>
    <x v="0"/>
    <s v="Dec"/>
  </r>
  <r>
    <x v="25"/>
    <s v="November"/>
    <s v="SP500"/>
    <n v="4655.24"/>
    <n v="4688.47"/>
    <n v="4650.7700000000004"/>
    <n v="4682.8500000000004"/>
    <n v="2865790000"/>
    <x v="0"/>
    <s v="Nov"/>
  </r>
  <r>
    <x v="26"/>
    <s v="November"/>
    <s v="SP500"/>
    <n v="4670.26"/>
    <n v="4684.8500000000004"/>
    <n v="4630.8599999999997"/>
    <n v="4646.71"/>
    <n v="3581630000"/>
    <x v="0"/>
    <s v="Nov"/>
  </r>
  <r>
    <x v="27"/>
    <s v="November"/>
    <s v="SP500"/>
    <n v="4662.93"/>
    <n v="4683"/>
    <n v="4662.59"/>
    <n v="4680.0600000000004"/>
    <n v="3332940000"/>
    <x v="0"/>
    <s v="Nov"/>
  </r>
  <r>
    <x v="28"/>
    <s v="November"/>
    <s v="SP500"/>
    <n v="4628.75"/>
    <n v="4672.95"/>
    <n v="4625.26"/>
    <n v="4655.2700000000004"/>
    <n v="3471380000"/>
    <x v="0"/>
    <s v="Nov"/>
  </r>
  <r>
    <x v="29"/>
    <s v="December"/>
    <s v="SP500"/>
    <n v="4652.5"/>
    <n v="4666.7"/>
    <n v="4600.22"/>
    <n v="4620.6400000000003"/>
    <n v="5609780000"/>
    <x v="0"/>
    <s v="Dec"/>
  </r>
  <r>
    <x v="30"/>
    <s v="November"/>
    <s v="SP500"/>
    <n v="4664.63"/>
    <n v="4664.63"/>
    <n v="4585.43"/>
    <n v="4594.62"/>
    <n v="2676740000"/>
    <x v="0"/>
    <s v="Nov"/>
  </r>
  <r>
    <x v="31"/>
    <s v="November"/>
    <s v="SP500"/>
    <n v="4659.3900000000003"/>
    <n v="4664.55"/>
    <n v="4648.3100000000004"/>
    <n v="4649.2700000000004"/>
    <n v="2623140000"/>
    <x v="0"/>
    <s v="Nov"/>
  </r>
  <r>
    <x v="32"/>
    <s v="November"/>
    <s v="SP500"/>
    <n v="4630.6499999999996"/>
    <n v="4663.46"/>
    <n v="4621.1899999999996"/>
    <n v="4660.57"/>
    <n v="3339440000"/>
    <x v="0"/>
    <s v="Nov"/>
  </r>
  <r>
    <x v="33"/>
    <s v="December"/>
    <s v="SP500"/>
    <n v="4642.99"/>
    <n v="4660.47"/>
    <n v="4606.5200000000004"/>
    <n v="4634.09"/>
    <n v="3292740000"/>
    <x v="0"/>
    <s v="Dec"/>
  </r>
  <r>
    <x v="34"/>
    <s v="December"/>
    <s v="SP500"/>
    <n v="4602.82"/>
    <n v="4652.9399999999996"/>
    <n v="4510.2700000000004"/>
    <n v="4513.04"/>
    <n v="4078260000"/>
    <x v="0"/>
    <s v="Dec"/>
  </r>
  <r>
    <x v="35"/>
    <s v="December"/>
    <s v="SP500"/>
    <n v="4594.96"/>
    <n v="4651.1400000000003"/>
    <n v="4583.16"/>
    <n v="4649.2299999999996"/>
    <n v="2564370000"/>
    <x v="0"/>
    <s v="Dec"/>
  </r>
  <r>
    <x v="36"/>
    <s v="November"/>
    <s v="SP500"/>
    <n v="4640.25"/>
    <n v="4646.0200000000004"/>
    <n v="4560"/>
    <n v="4567"/>
    <n v="4950190000"/>
    <x v="0"/>
    <s v="Nov"/>
  </r>
  <r>
    <x v="37"/>
    <s v="November"/>
    <s v="SP500"/>
    <n v="4613.34"/>
    <n v="4635.1499999999996"/>
    <n v="4613.34"/>
    <n v="4630.6499999999996"/>
    <n v="3309690000"/>
    <x v="0"/>
    <s v="Nov"/>
  </r>
  <r>
    <x v="38"/>
    <s v="November"/>
    <s v="SP500"/>
    <n v="4610.62"/>
    <n v="4620.34"/>
    <n v="4595.0600000000004"/>
    <n v="4613.67"/>
    <n v="2924000000"/>
    <x v="0"/>
    <s v="Nov"/>
  </r>
  <r>
    <x v="39"/>
    <s v="December"/>
    <s v="SP500"/>
    <n v="4548.37"/>
    <n v="4612.6000000000004"/>
    <n v="4540.51"/>
    <n v="4591.67"/>
    <n v="3305690000"/>
    <x v="0"/>
    <s v="Dec"/>
  </r>
  <r>
    <x v="40"/>
    <s v="October"/>
    <s v="SP500"/>
    <n v="4572.87"/>
    <n v="4608.08"/>
    <n v="4567.59"/>
    <n v="4605.38"/>
    <n v="3632260000"/>
    <x v="0"/>
    <s v="Oct"/>
  </r>
  <r>
    <x v="41"/>
    <s v="December"/>
    <s v="SP500"/>
    <n v="4589.49"/>
    <n v="4608.03"/>
    <n v="4495.12"/>
    <n v="4538.43"/>
    <n v="3971500000"/>
    <x v="0"/>
    <s v="Dec"/>
  </r>
  <r>
    <x v="42"/>
    <s v="October"/>
    <s v="SP500"/>
    <n v="4578.6899999999996"/>
    <n v="4598.53"/>
    <n v="4569.17"/>
    <n v="4574.79"/>
    <n v="2866500000"/>
    <x v="0"/>
    <s v="Oct"/>
  </r>
  <r>
    <x v="43"/>
    <s v="October"/>
    <s v="SP500"/>
    <n v="4562.84"/>
    <n v="4597.55"/>
    <n v="4562.84"/>
    <n v="4596.42"/>
    <n v="3197560000"/>
    <x v="0"/>
    <s v="Oct"/>
  </r>
  <r>
    <x v="44"/>
    <s v="December"/>
    <s v="SP500"/>
    <n v="4504.7299999999996"/>
    <n v="4595.46"/>
    <n v="4504.7299999999996"/>
    <n v="4577.1000000000004"/>
    <n v="3771510000"/>
    <x v="0"/>
    <s v="Dec"/>
  </r>
  <r>
    <x v="45"/>
    <s v="December"/>
    <s v="SP500"/>
    <n v="4587.8999999999996"/>
    <n v="4587.8999999999996"/>
    <n v="4531.1000000000004"/>
    <n v="4568.0200000000004"/>
    <n v="3395780000"/>
    <x v="0"/>
    <s v="Dec"/>
  </r>
  <r>
    <x v="46"/>
    <s v="October"/>
    <s v="SP500"/>
    <n v="4580.22"/>
    <n v="4584.57"/>
    <n v="4551.66"/>
    <n v="4551.68"/>
    <n v="3259510000"/>
    <x v="0"/>
    <s v="Oct"/>
  </r>
  <r>
    <x v="47"/>
    <s v="October"/>
    <s v="SP500"/>
    <n v="4553.6899999999996"/>
    <n v="4572.62"/>
    <n v="4537.3599999999997"/>
    <n v="4566.4799999999996"/>
    <n v="3250210000"/>
    <x v="0"/>
    <s v="Oct"/>
  </r>
  <r>
    <x v="48"/>
    <s v="October"/>
    <s v="SP500"/>
    <n v="4546.12"/>
    <n v="4559.67"/>
    <n v="4524"/>
    <n v="4544.8999999999996"/>
    <n v="3062810000"/>
    <x v="0"/>
    <s v="Oct"/>
  </r>
  <r>
    <x v="49"/>
    <s v="October"/>
    <s v="SP500"/>
    <n v="4532.24"/>
    <n v="4551.4399999999996"/>
    <n v="4526.8900000000003"/>
    <n v="4549.78"/>
    <n v="3016950000"/>
    <x v="0"/>
    <s v="Oct"/>
  </r>
  <r>
    <x v="50"/>
    <s v="September"/>
    <s v="SP500"/>
    <n v="4534.4799999999996"/>
    <n v="4545.8500000000004"/>
    <n v="4524.66"/>
    <n v="4536.95"/>
    <n v="2897010000"/>
    <x v="0"/>
    <s v="Sep"/>
  </r>
  <r>
    <x v="51"/>
    <s v="September"/>
    <s v="SP500"/>
    <n v="4532.42"/>
    <n v="4541.45"/>
    <n v="4521.3"/>
    <n v="4535.43"/>
    <n v="2609660000"/>
    <x v="0"/>
    <s v="Sep"/>
  </r>
  <r>
    <x v="52"/>
    <s v="October"/>
    <s v="SP500"/>
    <n v="4524.42"/>
    <n v="4540.87"/>
    <n v="4524.3999999999996"/>
    <n v="4536.1899999999996"/>
    <n v="2671560000"/>
    <x v="0"/>
    <s v="Oct"/>
  </r>
  <r>
    <x v="53"/>
    <s v="August"/>
    <s v="SP500"/>
    <n v="4513.76"/>
    <n v="4537.3599999999997"/>
    <n v="4513.76"/>
    <n v="4528.79"/>
    <n v="2557300000"/>
    <x v="0"/>
    <s v="Aug"/>
  </r>
  <r>
    <x v="54"/>
    <s v="September"/>
    <s v="SP500"/>
    <n v="4528.8"/>
    <n v="4537.1099999999997"/>
    <n v="4522.0200000000004"/>
    <n v="4524.09"/>
    <n v="3101830000"/>
    <x v="0"/>
    <s v="Sep"/>
  </r>
  <r>
    <x v="55"/>
    <s v="September"/>
    <s v="SP500"/>
    <n v="4535.38"/>
    <n v="4535.38"/>
    <n v="4513"/>
    <n v="4520.03"/>
    <n v="3098870000"/>
    <x v="0"/>
    <s v="Sep"/>
  </r>
  <r>
    <x v="56"/>
    <s v="August"/>
    <s v="SP500"/>
    <n v="4529.75"/>
    <n v="4531.3900000000003"/>
    <n v="4515.8"/>
    <n v="4522.68"/>
    <n v="3090380000"/>
    <x v="0"/>
    <s v="Aug"/>
  </r>
  <r>
    <x v="57"/>
    <s v="September"/>
    <s v="SP500"/>
    <n v="4513.0200000000004"/>
    <n v="4529.8999999999996"/>
    <n v="4492.07"/>
    <n v="4493.28"/>
    <n v="3035300000"/>
    <x v="0"/>
    <s v="Sep"/>
  </r>
  <r>
    <x v="58"/>
    <s v="September"/>
    <s v="SP500"/>
    <n v="4518.09"/>
    <n v="4521.79"/>
    <n v="4493.95"/>
    <n v="4514.07"/>
    <n v="2808480000"/>
    <x v="0"/>
    <s v="Sep"/>
  </r>
  <r>
    <x v="59"/>
    <s v="September"/>
    <s v="SP500"/>
    <n v="4506.92"/>
    <n v="4520.47"/>
    <n v="4457.66"/>
    <n v="4458.58"/>
    <n v="2851140000"/>
    <x v="0"/>
    <s v="Sep"/>
  </r>
  <r>
    <x v="60"/>
    <s v="October"/>
    <s v="SP500"/>
    <n v="4497.34"/>
    <n v="4520.3999999999996"/>
    <n v="4496.41"/>
    <n v="4519.63"/>
    <n v="2531210000"/>
    <x v="0"/>
    <s v="Oct"/>
  </r>
  <r>
    <x v="61"/>
    <s v="August"/>
    <s v="SP500"/>
    <n v="4474.1000000000004"/>
    <n v="4513.33"/>
    <n v="4474.1000000000004"/>
    <n v="4509.37"/>
    <n v="2862360000"/>
    <x v="0"/>
    <s v="Aug"/>
  </r>
  <r>
    <x v="62"/>
    <s v="August"/>
    <s v="SP500"/>
    <n v="4490.45"/>
    <n v="4501.71"/>
    <n v="4485.66"/>
    <n v="4496.1899999999996"/>
    <n v="2554680000"/>
    <x v="0"/>
    <s v="Aug"/>
  </r>
  <r>
    <x v="63"/>
    <s v="August"/>
    <s v="SP500"/>
    <n v="4493.75"/>
    <n v="4495.8999999999996"/>
    <n v="4468.99"/>
    <n v="4470"/>
    <n v="2704600000"/>
    <x v="0"/>
    <s v="Aug"/>
  </r>
  <r>
    <x v="64"/>
    <s v="September"/>
    <s v="SP500"/>
    <n v="4474.8100000000004"/>
    <n v="4492.99"/>
    <n v="4445.7"/>
    <n v="4468.7299999999996"/>
    <n v="3096390000"/>
    <x v="0"/>
    <s v="Sep"/>
  </r>
  <r>
    <x v="65"/>
    <s v="August"/>
    <s v="SP500"/>
    <n v="4484.3999999999996"/>
    <n v="4492.8100000000004"/>
    <n v="4482.28"/>
    <n v="4486.2299999999996"/>
    <n v="3037770000"/>
    <x v="0"/>
    <s v="Aug"/>
  </r>
  <r>
    <x v="66"/>
    <s v="August"/>
    <s v="SP500"/>
    <n v="4450.29"/>
    <n v="4489.88"/>
    <n v="4450.29"/>
    <n v="4479.53"/>
    <n v="2965520000"/>
    <x v="0"/>
    <s v="Aug"/>
  </r>
  <r>
    <x v="67"/>
    <s v="October"/>
    <s v="SP500"/>
    <n v="4463.72"/>
    <n v="4488.75"/>
    <n v="4447.47"/>
    <n v="4486.46"/>
    <n v="2683540000"/>
    <x v="0"/>
    <s v="Oct"/>
  </r>
  <r>
    <x v="68"/>
    <s v="September"/>
    <s v="SP500"/>
    <n v="4447.49"/>
    <n v="4486.87"/>
    <n v="4438.37"/>
    <n v="4480.7"/>
    <n v="3154760000"/>
    <x v="0"/>
    <s v="Sep"/>
  </r>
  <r>
    <x v="69"/>
    <s v="September"/>
    <s v="SP500"/>
    <n v="4477.09"/>
    <n v="4485.87"/>
    <n v="4443.8"/>
    <n v="4473.75"/>
    <n v="3321030000"/>
    <x v="0"/>
    <s v="Sep"/>
  </r>
  <r>
    <x v="70"/>
    <s v="September"/>
    <s v="SP500"/>
    <n v="4479.33"/>
    <n v="4485.68"/>
    <n v="4435.46"/>
    <n v="4443.05"/>
    <n v="2568730000"/>
    <x v="0"/>
    <s v="Sep"/>
  </r>
  <r>
    <x v="71"/>
    <s v="August"/>
    <s v="SP500"/>
    <n v="4461.6499999999996"/>
    <n v="4480.26"/>
    <n v="4437.66"/>
    <n v="4479.71"/>
    <n v="2707170000"/>
    <x v="0"/>
    <s v="Aug"/>
  </r>
  <r>
    <x v="72"/>
    <s v="October"/>
    <s v="SP500"/>
    <n v="4447.6899999999996"/>
    <n v="4475.82"/>
    <n v="4447.6899999999996"/>
    <n v="4471.37"/>
    <n v="3000560000"/>
    <x v="0"/>
    <s v="Oct"/>
  </r>
  <r>
    <x v="73"/>
    <s v="September"/>
    <s v="SP500"/>
    <n v="4469.74"/>
    <n v="4471.5200000000004"/>
    <n v="4427.76"/>
    <n v="4432.99"/>
    <n v="5622210000"/>
    <x v="0"/>
    <s v="Sep"/>
  </r>
  <r>
    <x v="74"/>
    <s v="August"/>
    <s v="SP500"/>
    <n v="4464.84"/>
    <n v="4468.37"/>
    <n v="4460.82"/>
    <n v="4468"/>
    <n v="2371630000"/>
    <x v="0"/>
    <s v="Aug"/>
  </r>
  <r>
    <x v="75"/>
    <s v="September"/>
    <s v="SP500"/>
    <n v="4406.75"/>
    <n v="4465.3999999999996"/>
    <n v="4406.75"/>
    <n v="4448.9799999999996"/>
    <n v="2833290000"/>
    <x v="0"/>
    <s v="Sep"/>
  </r>
  <r>
    <x v="76"/>
    <s v="September"/>
    <s v="SP500"/>
    <n v="4438.04"/>
    <n v="4463.12"/>
    <n v="4430.2700000000004"/>
    <n v="4455.4799999999996"/>
    <n v="2772090000"/>
    <x v="0"/>
    <s v="Sep"/>
  </r>
  <r>
    <x v="77"/>
    <s v="August"/>
    <s v="SP500"/>
    <n v="4462.12"/>
    <n v="4462.12"/>
    <n v="4417.83"/>
    <n v="4448.08"/>
    <n v="2884000000"/>
    <x v="0"/>
    <s v="Aug"/>
  </r>
  <r>
    <x v="78"/>
    <s v="August"/>
    <s v="SP500"/>
    <n v="4446.08"/>
    <n v="4461.7700000000004"/>
    <n v="4435.96"/>
    <n v="4460.83"/>
    <n v="2543860000"/>
    <x v="0"/>
    <s v="Aug"/>
  </r>
  <r>
    <x v="79"/>
    <s v="September"/>
    <s v="SP500"/>
    <n v="4442.12"/>
    <n v="4457.3"/>
    <n v="4436.1899999999996"/>
    <n v="4443.1099999999997"/>
    <n v="3032870000"/>
    <x v="0"/>
    <s v="Sep"/>
  </r>
  <r>
    <x v="80"/>
    <s v="August"/>
    <s v="SP500"/>
    <n v="4440.9399999999996"/>
    <n v="4454.32"/>
    <n v="4397.59"/>
    <n v="4400.2700000000004"/>
    <n v="2965210000"/>
    <x v="0"/>
    <s v="Aug"/>
  </r>
  <r>
    <x v="81"/>
    <s v="August"/>
    <s v="SP500"/>
    <n v="4442.18"/>
    <n v="4449.4399999999996"/>
    <n v="4436.42"/>
    <n v="4442.41"/>
    <n v="2803060000"/>
    <x v="0"/>
    <s v="Aug"/>
  </r>
  <r>
    <x v="82"/>
    <s v="August"/>
    <s v="SP500"/>
    <n v="4435.79"/>
    <n v="4445.21"/>
    <n v="4430.03"/>
    <n v="4436.75"/>
    <n v="3219840000"/>
    <x v="0"/>
    <s v="Aug"/>
  </r>
  <r>
    <x v="83"/>
    <s v="August"/>
    <s v="SP500"/>
    <n v="4410.5600000000004"/>
    <n v="4444.3500000000004"/>
    <n v="4406.8"/>
    <n v="4441.67"/>
    <n v="2867770000"/>
    <x v="0"/>
    <s v="Aug"/>
  </r>
  <r>
    <x v="84"/>
    <s v="August"/>
    <s v="SP500"/>
    <n v="4429.07"/>
    <n v="4440.82"/>
    <n v="4429.07"/>
    <n v="4436.5200000000004"/>
    <n v="2839970000"/>
    <x v="0"/>
    <s v="Aug"/>
  </r>
  <r>
    <x v="85"/>
    <s v="October"/>
    <s v="SP500"/>
    <n v="4386.75"/>
    <n v="4439.7299999999996"/>
    <n v="4386.75"/>
    <n v="4438.26"/>
    <n v="2642920000"/>
    <x v="0"/>
    <s v="Oct"/>
  </r>
  <r>
    <x v="86"/>
    <s v="August"/>
    <s v="SP500"/>
    <n v="4437.7700000000004"/>
    <n v="4439.3900000000003"/>
    <n v="4424.74"/>
    <n v="4432.3500000000004"/>
    <n v="2779880000"/>
    <x v="0"/>
    <s v="Aug"/>
  </r>
  <r>
    <x v="87"/>
    <s v="October"/>
    <s v="SP500"/>
    <n v="4383.7299999999996"/>
    <n v="4429.97"/>
    <n v="4383.7299999999996"/>
    <n v="4399.76"/>
    <n v="3096080000"/>
    <x v="0"/>
    <s v="Oct"/>
  </r>
  <r>
    <x v="88"/>
    <s v="July"/>
    <s v="SP500"/>
    <n v="4403.59"/>
    <n v="4429.97"/>
    <n v="4403.59"/>
    <n v="4419.1499999999996"/>
    <n v="2815510000"/>
    <x v="0"/>
    <s v="Jul"/>
  </r>
  <r>
    <x v="89"/>
    <s v="August"/>
    <s v="SP500"/>
    <n v="4408.8599999999997"/>
    <n v="4429.76"/>
    <n v="4408.8599999999997"/>
    <n v="4429.1000000000004"/>
    <n v="2734220000"/>
    <x v="0"/>
    <s v="Aug"/>
  </r>
  <r>
    <x v="90"/>
    <s v="August"/>
    <s v="SP500"/>
    <n v="4392.74"/>
    <n v="4423.79"/>
    <n v="4373"/>
    <n v="4423.1499999999996"/>
    <n v="3305340000"/>
    <x v="0"/>
    <s v="Aug"/>
  </r>
  <r>
    <x v="91"/>
    <s v="July"/>
    <s v="SP500"/>
    <n v="4409.58"/>
    <n v="4422.7299999999996"/>
    <n v="4405.45"/>
    <n v="4422.3"/>
    <n v="2679110000"/>
    <x v="0"/>
    <s v="Jul"/>
  </r>
  <r>
    <x v="92"/>
    <s v="August"/>
    <s v="SP500"/>
    <n v="4406.8599999999997"/>
    <n v="4422.18"/>
    <n v="4384.8100000000004"/>
    <n v="4387.16"/>
    <n v="2919940000"/>
    <x v="0"/>
    <s v="Aug"/>
  </r>
  <r>
    <x v="93"/>
    <s v="September"/>
    <s v="SP500"/>
    <n v="4419.54"/>
    <n v="4419.54"/>
    <n v="4346.33"/>
    <n v="4352.63"/>
    <n v="3495970000"/>
    <x v="0"/>
    <s v="Sep"/>
  </r>
  <r>
    <x v="94"/>
    <s v="August"/>
    <s v="SP500"/>
    <n v="4382.4399999999996"/>
    <n v="4418.6099999999997"/>
    <n v="4367.7299999999996"/>
    <n v="4405.8"/>
    <n v="3120840000"/>
    <x v="0"/>
    <s v="Aug"/>
  </r>
  <r>
    <x v="95"/>
    <s v="September"/>
    <s v="SP500"/>
    <n v="4367.43"/>
    <n v="4416.75"/>
    <n v="4367.43"/>
    <n v="4395.6400000000003"/>
    <n v="3273670000"/>
    <x v="0"/>
    <s v="Sep"/>
  </r>
  <r>
    <x v="96"/>
    <s v="July"/>
    <s v="SP500"/>
    <n v="4416.38"/>
    <n v="4416.38"/>
    <n v="4372.51"/>
    <n v="4401.46"/>
    <n v="3381080000"/>
    <x v="0"/>
    <s v="Jul"/>
  </r>
  <r>
    <x v="97"/>
    <s v="August"/>
    <s v="SP500"/>
    <n v="4415.95"/>
    <n v="4416.17"/>
    <n v="4400.2299999999996"/>
    <n v="4402.66"/>
    <n v="3382620000"/>
    <x v="0"/>
    <s v="Aug"/>
  </r>
  <r>
    <x v="98"/>
    <s v="October"/>
    <s v="SP500"/>
    <n v="4385.4399999999996"/>
    <n v="4415.88"/>
    <n v="4360.59"/>
    <n v="4361.1899999999996"/>
    <n v="2580000000"/>
    <x v="0"/>
    <s v="Oct"/>
  </r>
  <r>
    <x v="99"/>
    <s v="July"/>
    <s v="SP500"/>
    <n v="4402.95"/>
    <n v="4415.47"/>
    <n v="4387.01"/>
    <n v="4400.6400000000003"/>
    <n v="3215130000"/>
    <x v="0"/>
    <s v="Jul"/>
  </r>
  <r>
    <x v="100"/>
    <s v="July"/>
    <s v="SP500"/>
    <n v="4381.2"/>
    <n v="4415.18"/>
    <n v="4381.2"/>
    <n v="4411.79"/>
    <n v="3490730000"/>
    <x v="0"/>
    <s v="Jul"/>
  </r>
  <r>
    <x v="101"/>
    <s v="July"/>
    <s v="SP500"/>
    <n v="4395.12"/>
    <n v="4412.25"/>
    <n v="4389.6499999999996"/>
    <n v="4395.26"/>
    <n v="2861600000"/>
    <x v="0"/>
    <s v="Jul"/>
  </r>
  <r>
    <x v="102"/>
    <s v="October"/>
    <s v="SP500"/>
    <n v="4406.51"/>
    <n v="4412.0200000000004"/>
    <n v="4386.22"/>
    <n v="4391.34"/>
    <n v="2401890000"/>
    <x v="0"/>
    <s v="Oct"/>
  </r>
  <r>
    <x v="103"/>
    <s v="September"/>
    <s v="SP500"/>
    <n v="4402.95"/>
    <n v="4402.95"/>
    <n v="4305.91"/>
    <n v="4357.7299999999996"/>
    <n v="3773680000"/>
    <x v="0"/>
    <s v="Sep"/>
  </r>
  <r>
    <x v="104"/>
    <s v="September"/>
    <s v="SP500"/>
    <n v="4374.45"/>
    <n v="4394.87"/>
    <n v="4347.96"/>
    <n v="4354.1899999999996"/>
    <n v="3044300000"/>
    <x v="0"/>
    <s v="Sep"/>
  </r>
  <r>
    <x v="105"/>
    <s v="July"/>
    <s v="SP500"/>
    <n v="4380.1099999999997"/>
    <n v="4393.68"/>
    <n v="4362.3599999999997"/>
    <n v="4374.3"/>
    <n v="3213870000"/>
    <x v="0"/>
    <s v="Jul"/>
  </r>
  <r>
    <x v="106"/>
    <s v="July"/>
    <s v="SP500"/>
    <n v="4381.07"/>
    <n v="4392.37"/>
    <n v="4366.92"/>
    <n v="4369.21"/>
    <n v="3166900000"/>
    <x v="0"/>
    <s v="Jul"/>
  </r>
  <r>
    <x v="107"/>
    <s v="July"/>
    <s v="SP500"/>
    <n v="4372.41"/>
    <n v="4386.68"/>
    <n v="4364.03"/>
    <n v="4384.63"/>
    <n v="2983980000"/>
    <x v="0"/>
    <s v="Jul"/>
  </r>
  <r>
    <x v="108"/>
    <s v="September"/>
    <s v="SP500"/>
    <n v="4362.41"/>
    <n v="4385.57"/>
    <n v="4355.08"/>
    <n v="4359.46"/>
    <n v="2753800000"/>
    <x v="0"/>
    <s v="Sep"/>
  </r>
  <r>
    <x v="109"/>
    <s v="September"/>
    <s v="SP500"/>
    <n v="4370.67"/>
    <n v="4382.55"/>
    <n v="4306.24"/>
    <n v="4307.54"/>
    <n v="3123770000"/>
    <x v="0"/>
    <s v="Sep"/>
  </r>
  <r>
    <x v="110"/>
    <s v="October"/>
    <s v="SP500"/>
    <n v="4317.16"/>
    <n v="4375.1899999999996"/>
    <n v="4288.5200000000004"/>
    <n v="4357.04"/>
    <n v="3148980000"/>
    <x v="0"/>
    <s v="Oct"/>
  </r>
  <r>
    <x v="111"/>
    <s v="July"/>
    <s v="SP500"/>
    <n v="4367.43"/>
    <n v="4375.09"/>
    <n v="4322.53"/>
    <n v="4327.16"/>
    <n v="3165160000"/>
    <x v="0"/>
    <s v="Jul"/>
  </r>
  <r>
    <x v="112"/>
    <s v="October"/>
    <s v="SP500"/>
    <n v="4368.3100000000004"/>
    <n v="4374.8900000000003"/>
    <n v="4342.09"/>
    <n v="4350.6499999999996"/>
    <n v="2608150000"/>
    <x v="0"/>
    <s v="Oct"/>
  </r>
  <r>
    <x v="113"/>
    <s v="October"/>
    <s v="SP500"/>
    <n v="4358.01"/>
    <n v="4372.87"/>
    <n v="4329.92"/>
    <n v="4363.8"/>
    <n v="2926460000"/>
    <x v="0"/>
    <s v="Oct"/>
  </r>
  <r>
    <x v="114"/>
    <s v="July"/>
    <s v="SP500"/>
    <n v="4329.38"/>
    <n v="4371.6000000000004"/>
    <n v="4329.38"/>
    <n v="4369.55"/>
    <n v="2738280000"/>
    <x v="0"/>
    <s v="Jul"/>
  </r>
  <r>
    <x v="115"/>
    <s v="July"/>
    <s v="SP500"/>
    <n v="4361.2700000000004"/>
    <n v="4369.87"/>
    <n v="4350.0600000000004"/>
    <n v="4367.4799999999996"/>
    <n v="2907910000"/>
    <x v="0"/>
    <s v="Jul"/>
  </r>
  <r>
    <x v="116"/>
    <s v="October"/>
    <s v="SP500"/>
    <n v="4309.87"/>
    <n v="4369.2299999999996"/>
    <n v="4309.87"/>
    <n v="4345.72"/>
    <n v="2967400000"/>
    <x v="0"/>
    <s v="Oct"/>
  </r>
  <r>
    <x v="117"/>
    <s v="July"/>
    <s v="SP500"/>
    <n v="4369.0200000000004"/>
    <n v="4369.0200000000004"/>
    <n v="4340.7"/>
    <n v="4360.03"/>
    <n v="3226930000"/>
    <x v="0"/>
    <s v="Jul"/>
  </r>
  <r>
    <x v="118"/>
    <s v="October"/>
    <s v="SP500"/>
    <n v="4319.57"/>
    <n v="4365.57"/>
    <n v="4290.49"/>
    <n v="4363.55"/>
    <n v="3219590000"/>
    <x v="0"/>
    <s v="Oct"/>
  </r>
  <r>
    <x v="119"/>
    <s v="July"/>
    <s v="SP500"/>
    <n v="4351.01"/>
    <n v="4361.88"/>
    <n v="4329.79"/>
    <n v="4358.13"/>
    <n v="3243900000"/>
    <x v="0"/>
    <s v="Jul"/>
  </r>
  <r>
    <x v="120"/>
    <s v="July"/>
    <s v="SP500"/>
    <n v="4331.13"/>
    <n v="4359.7"/>
    <n v="4331.13"/>
    <n v="4358.6899999999996"/>
    <n v="3078550000"/>
    <x v="0"/>
    <s v="Jul"/>
  </r>
  <r>
    <x v="121"/>
    <s v="July"/>
    <s v="SP500"/>
    <n v="4356.46"/>
    <n v="4356.46"/>
    <n v="4314.37"/>
    <n v="4343.54"/>
    <n v="3437900000"/>
    <x v="0"/>
    <s v="Jul"/>
  </r>
  <r>
    <x v="122"/>
    <s v="October"/>
    <s v="SP500"/>
    <n v="4348.84"/>
    <n v="4355.51"/>
    <n v="4278.9399999999996"/>
    <n v="4300.46"/>
    <n v="3110560000"/>
    <x v="0"/>
    <s v="Oct"/>
  </r>
  <r>
    <x v="123"/>
    <s v="July"/>
    <s v="SP500"/>
    <n v="4326.6000000000004"/>
    <n v="4355.43"/>
    <n v="4326.6000000000004"/>
    <n v="4352.34"/>
    <n v="2628550000"/>
    <x v="0"/>
    <s v="Jul"/>
  </r>
  <r>
    <x v="124"/>
    <s v="July"/>
    <s v="SP500"/>
    <n v="4265.1099999999997"/>
    <n v="4336.84"/>
    <n v="4262.05"/>
    <n v="4323.0600000000004"/>
    <n v="3634190000"/>
    <x v="0"/>
    <s v="Jul"/>
  </r>
  <r>
    <x v="125"/>
    <s v="July"/>
    <s v="SP500"/>
    <n v="4321.07"/>
    <n v="4330.88"/>
    <n v="4289.37"/>
    <n v="4320.82"/>
    <n v="3393780000"/>
    <x v="0"/>
    <s v="Jul"/>
  </r>
  <r>
    <x v="126"/>
    <s v="July"/>
    <s v="SP500"/>
    <n v="4300.7299999999996"/>
    <n v="4320.66"/>
    <n v="4300.7299999999996"/>
    <n v="4319.9399999999996"/>
    <n v="3077580000"/>
    <x v="0"/>
    <s v="Jul"/>
  </r>
  <r>
    <x v="127"/>
    <s v="June"/>
    <s v="SP500"/>
    <n v="4290.6499999999996"/>
    <n v="4302.43"/>
    <n v="4287.96"/>
    <n v="4297.5"/>
    <n v="3687880000"/>
    <x v="0"/>
    <s v="Jun"/>
  </r>
  <r>
    <x v="128"/>
    <s v="June"/>
    <s v="SP500"/>
    <n v="4293.21"/>
    <n v="4300.5200000000004"/>
    <n v="4287.04"/>
    <n v="4291.8"/>
    <n v="3049560000"/>
    <x v="0"/>
    <s v="Jun"/>
  </r>
  <r>
    <x v="129"/>
    <s v="July"/>
    <s v="SP500"/>
    <n v="4296.3999999999996"/>
    <n v="4296.3999999999996"/>
    <n v="4233.13"/>
    <n v="4258.49"/>
    <n v="4155790000"/>
    <x v="0"/>
    <s v="Jul"/>
  </r>
  <r>
    <x v="130"/>
    <s v="June"/>
    <s v="SP500"/>
    <n v="4284.8999999999996"/>
    <n v="4292.1400000000003"/>
    <n v="4274.67"/>
    <n v="4290.6099999999997"/>
    <n v="3415610000"/>
    <x v="0"/>
    <s v="Jun"/>
  </r>
  <r>
    <x v="131"/>
    <s v="June"/>
    <s v="SP500"/>
    <n v="4274.45"/>
    <n v="4286.12"/>
    <n v="4271.16"/>
    <n v="4280.7"/>
    <n v="6248390000"/>
    <x v="0"/>
    <s v="Jun"/>
  </r>
  <r>
    <x v="132"/>
    <s v="June"/>
    <s v="SP500"/>
    <n v="4256.97"/>
    <n v="4271.28"/>
    <n v="4256.97"/>
    <n v="4266.49"/>
    <n v="3141680000"/>
    <x v="0"/>
    <s v="Jun"/>
  </r>
  <r>
    <x v="133"/>
    <s v="June"/>
    <s v="SP500"/>
    <n v="4255.28"/>
    <n v="4257.16"/>
    <n v="4238.3500000000004"/>
    <n v="4246.59"/>
    <n v="3578450000"/>
    <x v="0"/>
    <s v="Jun"/>
  </r>
  <r>
    <x v="134"/>
    <s v="June"/>
    <s v="SP500"/>
    <n v="4249.2700000000004"/>
    <n v="4256.6000000000004"/>
    <n v="4241.43"/>
    <n v="4241.84"/>
    <n v="3172440000"/>
    <x v="0"/>
    <s v="Jun"/>
  </r>
  <r>
    <x v="135"/>
    <s v="June"/>
    <s v="SP500"/>
    <n v="4224.6099999999997"/>
    <n v="4255.84"/>
    <n v="4217.2700000000004"/>
    <n v="4246.4399999999996"/>
    <n v="3208760000"/>
    <x v="0"/>
    <s v="Jun"/>
  </r>
  <r>
    <x v="136"/>
    <s v="June"/>
    <s v="SP500"/>
    <n v="4248.3100000000004"/>
    <n v="4255.59"/>
    <n v="4234.07"/>
    <n v="4255.1499999999996"/>
    <n v="3612050000"/>
    <x v="0"/>
    <s v="Jun"/>
  </r>
  <r>
    <x v="137"/>
    <s v="June"/>
    <s v="SP500"/>
    <n v="4248.87"/>
    <n v="4251.8900000000003"/>
    <n v="4202.45"/>
    <n v="4223.7"/>
    <n v="3722050000"/>
    <x v="0"/>
    <s v="Jun"/>
  </r>
  <r>
    <x v="138"/>
    <s v="June"/>
    <s v="SP500"/>
    <n v="4228.5600000000004"/>
    <n v="4249.74"/>
    <n v="4220.34"/>
    <n v="4239.18"/>
    <n v="3502480000"/>
    <x v="0"/>
    <s v="Jun"/>
  </r>
  <r>
    <x v="139"/>
    <s v="June"/>
    <s v="SP500"/>
    <n v="4242.8999999999996"/>
    <n v="4248.38"/>
    <n v="4232.25"/>
    <n v="4247.4399999999996"/>
    <n v="3204280000"/>
    <x v="0"/>
    <s v="Jun"/>
  </r>
  <r>
    <x v="140"/>
    <s v="May"/>
    <s v="SP500"/>
    <n v="4210.34"/>
    <n v="4238.04"/>
    <n v="4201.6400000000003"/>
    <n v="4232.6000000000004"/>
    <n v="4013060000"/>
    <x v="0"/>
    <s v="May"/>
  </r>
  <r>
    <x v="141"/>
    <s v="June"/>
    <s v="SP500"/>
    <n v="4232.99"/>
    <n v="4237.09"/>
    <n v="4218.74"/>
    <n v="4219.55"/>
    <n v="3902870000"/>
    <x v="0"/>
    <s v="Jun"/>
  </r>
  <r>
    <x v="142"/>
    <s v="June"/>
    <s v="SP500"/>
    <n v="4233.8100000000004"/>
    <n v="4236.74"/>
    <n v="4208.41"/>
    <n v="4227.26"/>
    <n v="3943870000"/>
    <x v="0"/>
    <s v="Jun"/>
  </r>
  <r>
    <x v="143"/>
    <s v="May"/>
    <s v="SP500"/>
    <n v="4228.29"/>
    <n v="4236.3900000000003"/>
    <n v="4188.13"/>
    <n v="4188.43"/>
    <n v="3678970000"/>
    <x v="0"/>
    <s v="May"/>
  </r>
  <r>
    <x v="144"/>
    <s v="June"/>
    <s v="SP500"/>
    <n v="4216.5200000000004"/>
    <n v="4234.12"/>
    <n v="4197.59"/>
    <n v="4202.04"/>
    <n v="4122960000"/>
    <x v="0"/>
    <s v="Jun"/>
  </r>
  <r>
    <x v="145"/>
    <s v="June"/>
    <s v="SP500"/>
    <n v="4206.05"/>
    <n v="4233.45"/>
    <n v="4206.05"/>
    <n v="4229.8900000000003"/>
    <n v="3487070000"/>
    <x v="0"/>
    <s v="Jun"/>
  </r>
  <r>
    <x v="146"/>
    <s v="June"/>
    <s v="SP500"/>
    <n v="4229.34"/>
    <n v="4232.34"/>
    <n v="4215.66"/>
    <n v="4226.5200000000004"/>
    <n v="3835570000"/>
    <x v="0"/>
    <s v="Jun"/>
  </r>
  <r>
    <x v="147"/>
    <s v="June"/>
    <s v="SP500"/>
    <n v="4220.37"/>
    <n v="4232.29"/>
    <n v="4196.05"/>
    <n v="4221.8599999999997"/>
    <n v="3952110000"/>
    <x v="0"/>
    <s v="Jun"/>
  </r>
  <r>
    <x v="148"/>
    <s v="June"/>
    <s v="SP500"/>
    <n v="4173.3999999999996"/>
    <n v="4226.24"/>
    <n v="4173.3999999999996"/>
    <n v="4224.79"/>
    <n v="3391740000"/>
    <x v="0"/>
    <s v="Jun"/>
  </r>
  <r>
    <x v="149"/>
    <s v="April"/>
    <s v="SP500"/>
    <n v="4206.1400000000003"/>
    <n v="4218.78"/>
    <n v="4176.8100000000004"/>
    <n v="4211.47"/>
    <n v="4288940000"/>
    <x v="0"/>
    <s v="Apr"/>
  </r>
  <r>
    <x v="150"/>
    <s v="May"/>
    <s v="SP500"/>
    <n v="4210.7700000000004"/>
    <n v="4218.3599999999997"/>
    <n v="4203.57"/>
    <n v="4204.1099999999997"/>
    <n v="4199270000"/>
    <x v="0"/>
    <s v="May"/>
  </r>
  <r>
    <x v="151"/>
    <s v="June"/>
    <s v="SP500"/>
    <n v="4206.82"/>
    <n v="4217.37"/>
    <n v="4198.2700000000004"/>
    <n v="4208.12"/>
    <n v="4860930000"/>
    <x v="0"/>
    <s v="Jun"/>
  </r>
  <r>
    <x v="152"/>
    <s v="May"/>
    <s v="SP500"/>
    <n v="4205.9399999999996"/>
    <n v="4213.42"/>
    <n v="4182.5200000000004"/>
    <n v="4188.13"/>
    <n v="3420870000"/>
    <x v="0"/>
    <s v="May"/>
  </r>
  <r>
    <x v="153"/>
    <s v="May"/>
    <s v="SP500"/>
    <n v="4201.9399999999996"/>
    <n v="4213.38"/>
    <n v="4197.78"/>
    <n v="4200.88"/>
    <n v="5201110000"/>
    <x v="0"/>
    <s v="May"/>
  </r>
  <r>
    <x v="154"/>
    <s v="May"/>
    <s v="SP500"/>
    <n v="4170.16"/>
    <n v="4209.5200000000004"/>
    <n v="4170.16"/>
    <n v="4197.05"/>
    <n v="2947400000"/>
    <x v="0"/>
    <s v="May"/>
  </r>
  <r>
    <x v="155"/>
    <s v="May"/>
    <s v="SP500"/>
    <n v="4191.9799999999996"/>
    <n v="4209.3900000000003"/>
    <n v="4188.03"/>
    <n v="4192.66"/>
    <n v="4061170000"/>
    <x v="0"/>
    <s v="May"/>
  </r>
  <r>
    <x v="156"/>
    <s v="June"/>
    <s v="SP500"/>
    <n v="4204.78"/>
    <n v="4204.78"/>
    <n v="4164.3999999999996"/>
    <n v="4166.45"/>
    <n v="6084980000"/>
    <x v="0"/>
    <s v="Jun"/>
  </r>
  <r>
    <x v="157"/>
    <s v="June"/>
    <s v="SP500"/>
    <n v="4191.43"/>
    <n v="4204.3900000000003"/>
    <n v="4167.93"/>
    <n v="4192.8500000000004"/>
    <n v="4579450000"/>
    <x v="0"/>
    <s v="Jun"/>
  </r>
  <r>
    <x v="158"/>
    <s v="May"/>
    <s v="SP500"/>
    <n v="4169.1400000000003"/>
    <n v="4202.7"/>
    <n v="4147.33"/>
    <n v="4201.62"/>
    <n v="4504860000"/>
    <x v="0"/>
    <s v="May"/>
  </r>
  <r>
    <x v="159"/>
    <s v="May"/>
    <s v="SP500"/>
    <n v="4191.59"/>
    <n v="4202.6099999999997"/>
    <n v="4184.1099999999997"/>
    <n v="4195.99"/>
    <n v="3674490000"/>
    <x v="0"/>
    <s v="May"/>
  </r>
  <r>
    <x v="160"/>
    <s v="April"/>
    <s v="SP500"/>
    <n v="4185.1400000000003"/>
    <n v="4201.53"/>
    <n v="4181.78"/>
    <n v="4183.18"/>
    <n v="3772390000"/>
    <x v="0"/>
    <s v="Apr"/>
  </r>
  <r>
    <x v="161"/>
    <s v="April"/>
    <s v="SP500"/>
    <n v="4198.1000000000004"/>
    <n v="4198.1000000000004"/>
    <n v="4174.8500000000004"/>
    <n v="4181.17"/>
    <n v="4273680000"/>
    <x v="0"/>
    <s v="Apr"/>
  </r>
  <r>
    <x v="162"/>
    <s v="April"/>
    <s v="SP500"/>
    <n v="4185.03"/>
    <n v="4194.1899999999996"/>
    <n v="4182.3599999999997"/>
    <n v="4187.62"/>
    <n v="3738920000"/>
    <x v="0"/>
    <s v="Apr"/>
  </r>
  <r>
    <x v="163"/>
    <s v="April"/>
    <s v="SP500"/>
    <n v="4138.78"/>
    <n v="4194.17"/>
    <n v="4138.78"/>
    <n v="4180.17"/>
    <n v="3568080000"/>
    <x v="0"/>
    <s v="Apr"/>
  </r>
  <r>
    <x v="164"/>
    <s v="April"/>
    <s v="SP500"/>
    <n v="4188.25"/>
    <n v="4193.3500000000004"/>
    <n v="4176.22"/>
    <n v="4186.72"/>
    <n v="3703240000"/>
    <x v="0"/>
    <s v="Apr"/>
  </r>
  <r>
    <x v="165"/>
    <s v="April"/>
    <s v="SP500"/>
    <n v="4174.1400000000003"/>
    <n v="4191.3100000000004"/>
    <n v="4170.75"/>
    <n v="4185.47"/>
    <n v="4157430000"/>
    <x v="0"/>
    <s v="Apr"/>
  </r>
  <r>
    <x v="166"/>
    <s v="May"/>
    <s v="SP500"/>
    <n v="4168.6099999999997"/>
    <n v="4188.72"/>
    <n v="4151.72"/>
    <n v="4155.8599999999997"/>
    <n v="3344620000"/>
    <x v="0"/>
    <s v="May"/>
  </r>
  <r>
    <x v="167"/>
    <s v="May"/>
    <s v="SP500"/>
    <n v="4177.0600000000004"/>
    <n v="4187.72"/>
    <n v="4160.9399999999996"/>
    <n v="4167.59"/>
    <n v="4029050000"/>
    <x v="0"/>
    <s v="May"/>
  </r>
  <r>
    <x v="168"/>
    <s v="May"/>
    <s v="SP500"/>
    <n v="4129.58"/>
    <n v="4183.13"/>
    <n v="4129.58"/>
    <n v="4173.8500000000004"/>
    <n v="3251920000"/>
    <x v="0"/>
    <s v="May"/>
  </r>
  <r>
    <x v="169"/>
    <s v="April"/>
    <s v="SP500"/>
    <n v="4179.8"/>
    <n v="4180.8100000000004"/>
    <n v="4150.47"/>
    <n v="4163.26"/>
    <n v="3788020000"/>
    <x v="0"/>
    <s v="Apr"/>
  </r>
  <r>
    <x v="170"/>
    <s v="April"/>
    <s v="SP500"/>
    <n v="4170.46"/>
    <n v="4179.57"/>
    <n v="4123.6899999999996"/>
    <n v="4134.9799999999996"/>
    <n v="4235040000"/>
    <x v="0"/>
    <s v="Apr"/>
  </r>
  <r>
    <x v="171"/>
    <s v="May"/>
    <s v="SP500"/>
    <n v="4179.04"/>
    <n v="4179.04"/>
    <n v="4128.59"/>
    <n v="4164.66"/>
    <n v="4441080000"/>
    <x v="0"/>
    <s v="May"/>
  </r>
  <r>
    <x v="172"/>
    <s v="April"/>
    <s v="SP500"/>
    <n v="4128.42"/>
    <n v="4175.0200000000004"/>
    <n v="4126.3500000000004"/>
    <n v="4173.42"/>
    <n v="3865820000"/>
    <x v="0"/>
    <s v="Apr"/>
  </r>
  <r>
    <x v="173"/>
    <s v="April"/>
    <s v="SP500"/>
    <n v="4139.76"/>
    <n v="4173.49"/>
    <n v="4139.76"/>
    <n v="4170.42"/>
    <n v="4027680000"/>
    <x v="0"/>
    <s v="Apr"/>
  </r>
  <r>
    <x v="174"/>
    <s v="May"/>
    <s v="SP500"/>
    <n v="4121.97"/>
    <n v="4172.8"/>
    <n v="4121.97"/>
    <n v="4159.12"/>
    <n v="3019060000"/>
    <x v="0"/>
    <s v="May"/>
  </r>
  <r>
    <x v="175"/>
    <s v="May"/>
    <s v="SP500"/>
    <n v="4169.92"/>
    <n v="4171.92"/>
    <n v="4142.6899999999996"/>
    <n v="4163.29"/>
    <n v="3307130000"/>
    <x v="0"/>
    <s v="May"/>
  </r>
  <r>
    <x v="176"/>
    <s v="May"/>
    <s v="SP500"/>
    <n v="4165.9399999999996"/>
    <n v="4169.1499999999996"/>
    <n v="4125.99"/>
    <n v="4127.83"/>
    <n v="3559790000"/>
    <x v="0"/>
    <s v="May"/>
  </r>
  <r>
    <x v="177"/>
    <s v="May"/>
    <s v="SP500"/>
    <n v="4150.34"/>
    <n v="4162.04"/>
    <n v="4111.53"/>
    <n v="4152.1000000000004"/>
    <n v="3593110000"/>
    <x v="0"/>
    <s v="May"/>
  </r>
  <r>
    <x v="178"/>
    <s v="April"/>
    <s v="SP500"/>
    <n v="4159.18"/>
    <n v="4159.18"/>
    <n v="4118.38"/>
    <n v="4134.9399999999996"/>
    <n v="4338230000"/>
    <x v="0"/>
    <s v="Apr"/>
  </r>
  <r>
    <x v="179"/>
    <s v="April"/>
    <s v="SP500"/>
    <n v="4141.58"/>
    <n v="4151.6899999999996"/>
    <n v="4120.87"/>
    <n v="4124.66"/>
    <n v="3976540000"/>
    <x v="0"/>
    <s v="Apr"/>
  </r>
  <r>
    <x v="180"/>
    <s v="April"/>
    <s v="SP500"/>
    <n v="4130.1000000000004"/>
    <n v="4148"/>
    <n v="4124.43"/>
    <n v="4141.59"/>
    <n v="3728440000"/>
    <x v="0"/>
    <s v="Apr"/>
  </r>
  <r>
    <x v="181"/>
    <s v="May"/>
    <s v="SP500"/>
    <n v="4130.55"/>
    <n v="4134.7299999999996"/>
    <n v="4056.88"/>
    <n v="4063.04"/>
    <n v="3735080000"/>
    <x v="0"/>
    <s v="May"/>
  </r>
  <r>
    <x v="182"/>
    <s v="April"/>
    <s v="SP500"/>
    <n v="4124.71"/>
    <n v="4131.76"/>
    <n v="4114.82"/>
    <n v="4127.99"/>
    <n v="3578500000"/>
    <x v="0"/>
    <s v="Apr"/>
  </r>
  <r>
    <x v="183"/>
    <s v="May"/>
    <s v="SP500"/>
    <n v="4074.99"/>
    <n v="4131.58"/>
    <n v="4074.99"/>
    <n v="4112.5"/>
    <n v="3687780000"/>
    <x v="0"/>
    <s v="May"/>
  </r>
  <r>
    <x v="184"/>
    <s v="April"/>
    <s v="SP500"/>
    <n v="4096.1099999999997"/>
    <n v="4129.4799999999996"/>
    <n v="4095.51"/>
    <n v="4128.8"/>
    <n v="3634910000"/>
    <x v="0"/>
    <s v="Apr"/>
  </r>
  <r>
    <x v="185"/>
    <s v="May"/>
    <s v="SP500"/>
    <n v="4098.45"/>
    <n v="4116.93"/>
    <n v="4061.41"/>
    <n v="4115.68"/>
    <n v="3485550000"/>
    <x v="0"/>
    <s v="May"/>
  </r>
  <r>
    <x v="186"/>
    <s v="April"/>
    <s v="SP500"/>
    <n v="4089.95"/>
    <n v="4098.1899999999996"/>
    <n v="4082.54"/>
    <n v="4097.17"/>
    <n v="3901910000"/>
    <x v="0"/>
    <s v="Apr"/>
  </r>
  <r>
    <x v="187"/>
    <s v="April"/>
    <s v="SP500"/>
    <n v="4075.57"/>
    <n v="4086.23"/>
    <n v="4068.14"/>
    <n v="4073.94"/>
    <n v="4027880000"/>
    <x v="0"/>
    <s v="Apr"/>
  </r>
  <r>
    <x v="188"/>
    <s v="April"/>
    <s v="SP500"/>
    <n v="4034.44"/>
    <n v="4083.42"/>
    <n v="4034.44"/>
    <n v="4077.91"/>
    <n v="3999760000"/>
    <x v="0"/>
    <s v="Apr"/>
  </r>
  <r>
    <x v="189"/>
    <s v="April"/>
    <s v="SP500"/>
    <n v="4074.29"/>
    <n v="4083.13"/>
    <n v="4068.31"/>
    <n v="4079.95"/>
    <n v="4112640000"/>
    <x v="0"/>
    <s v="Apr"/>
  </r>
  <r>
    <x v="190"/>
    <s v="April"/>
    <s v="SP500"/>
    <n v="3992.78"/>
    <n v="4020.63"/>
    <n v="3992.78"/>
    <n v="4019.87"/>
    <n v="4151240000"/>
    <x v="0"/>
    <s v="Apr"/>
  </r>
  <r>
    <x v="191"/>
    <s v="March"/>
    <s v="SP500"/>
    <n v="3967.25"/>
    <n v="3994.41"/>
    <n v="3966.98"/>
    <n v="3972.89"/>
    <n v="4564980000"/>
    <x v="0"/>
    <s v="Mar"/>
  </r>
  <r>
    <x v="192"/>
    <s v="March"/>
    <s v="SP500"/>
    <n v="3949.57"/>
    <n v="3983.87"/>
    <n v="3935.74"/>
    <n v="3974.12"/>
    <n v="4541620000"/>
    <x v="0"/>
    <s v="Mar"/>
  </r>
  <r>
    <x v="193"/>
    <s v="March"/>
    <s v="SP500"/>
    <n v="3969.31"/>
    <n v="3981.83"/>
    <n v="3943.25"/>
    <n v="3971.09"/>
    <n v="4619840000"/>
    <x v="0"/>
    <s v="Mar"/>
  </r>
  <r>
    <x v="194"/>
    <s v="March"/>
    <s v="SP500"/>
    <n v="3973.59"/>
    <n v="3981.04"/>
    <n v="3953.44"/>
    <n v="3962.71"/>
    <n v="4604870000"/>
    <x v="0"/>
    <s v="Mar"/>
  </r>
  <r>
    <x v="195"/>
    <s v="March"/>
    <s v="SP500"/>
    <n v="3917.12"/>
    <n v="3978.19"/>
    <n v="3917.12"/>
    <n v="3974.54"/>
    <n v="5467850000"/>
    <x v="0"/>
    <s v="Mar"/>
  </r>
  <r>
    <x v="196"/>
    <s v="March"/>
    <s v="SP500"/>
    <n v="3942.96"/>
    <n v="3970.08"/>
    <n v="3923.54"/>
    <n v="3968.94"/>
    <n v="4882190000"/>
    <x v="0"/>
    <s v="Mar"/>
  </r>
  <r>
    <x v="197"/>
    <s v="March"/>
    <s v="SP500"/>
    <n v="3953.5"/>
    <n v="3969.62"/>
    <n v="3910.86"/>
    <n v="3915.46"/>
    <n v="4043170000"/>
    <x v="0"/>
    <s v="Mar"/>
  </r>
  <r>
    <x v="198"/>
    <s v="March"/>
    <s v="SP500"/>
    <n v="3963.34"/>
    <n v="3968.01"/>
    <n v="3944.35"/>
    <n v="3958.55"/>
    <n v="4103570000"/>
    <x v="0"/>
    <s v="Mar"/>
  </r>
  <r>
    <x v="199"/>
    <s v="March"/>
    <s v="SP500"/>
    <n v="3915.54"/>
    <n v="3960.27"/>
    <n v="3915.54"/>
    <n v="3939.34"/>
    <n v="5300010000"/>
    <x v="0"/>
    <s v="Mar"/>
  </r>
  <r>
    <x v="200"/>
    <s v="March"/>
    <s v="SP500"/>
    <n v="3916.48"/>
    <n v="3955.31"/>
    <n v="3914.16"/>
    <n v="3940.59"/>
    <n v="4311380000"/>
    <x v="0"/>
    <s v="Mar"/>
  </r>
  <r>
    <x v="201"/>
    <s v="February"/>
    <s v="SP500"/>
    <n v="3939.61"/>
    <n v="3950.43"/>
    <n v="3923.85"/>
    <n v="3932.59"/>
    <n v="5037360000"/>
    <x v="0"/>
    <s v="Feb"/>
  </r>
  <r>
    <x v="202"/>
    <s v="March"/>
    <s v="SP500"/>
    <n v="3937.6"/>
    <n v="3949.13"/>
    <n v="3901.57"/>
    <n v="3910.52"/>
    <n v="4645340000"/>
    <x v="0"/>
    <s v="Mar"/>
  </r>
  <r>
    <x v="203"/>
    <s v="March"/>
    <s v="SP500"/>
    <n v="3924.52"/>
    <n v="3944.99"/>
    <n v="3915.21"/>
    <n v="3943.34"/>
    <n v="4469240000"/>
    <x v="0"/>
    <s v="Mar"/>
  </r>
  <r>
    <x v="204"/>
    <s v="March"/>
    <s v="SP500"/>
    <n v="3919.93"/>
    <n v="3942.08"/>
    <n v="3889.07"/>
    <n v="3889.14"/>
    <n v="4766990000"/>
    <x v="0"/>
    <s v="Mar"/>
  </r>
  <r>
    <x v="205"/>
    <s v="February"/>
    <s v="SP500"/>
    <n v="3911.65"/>
    <n v="3937.23"/>
    <n v="3905.78"/>
    <n v="3934.83"/>
    <n v="4119260000"/>
    <x v="0"/>
    <s v="Feb"/>
  </r>
  <r>
    <x v="206"/>
    <s v="February"/>
    <s v="SP500"/>
    <n v="3918.5"/>
    <n v="3933.61"/>
    <n v="3900.43"/>
    <n v="3931.33"/>
    <n v="4718280000"/>
    <x v="0"/>
    <s v="Feb"/>
  </r>
  <r>
    <x v="207"/>
    <s v="February"/>
    <s v="SP500"/>
    <n v="3920.78"/>
    <n v="3931.5"/>
    <n v="3884.94"/>
    <n v="3909.88"/>
    <n v="4815380000"/>
    <x v="0"/>
    <s v="Feb"/>
  </r>
  <r>
    <x v="208"/>
    <s v="February"/>
    <s v="SP500"/>
    <n v="3921.16"/>
    <n v="3930.41"/>
    <n v="3903.07"/>
    <n v="3906.71"/>
    <n v="4823940000"/>
    <x v="0"/>
    <s v="Feb"/>
  </r>
  <r>
    <x v="209"/>
    <s v="March"/>
    <s v="SP500"/>
    <n v="3913.14"/>
    <n v="3930.12"/>
    <n v="3886.75"/>
    <n v="3913.1"/>
    <n v="7725050000"/>
    <x v="0"/>
    <s v="Mar"/>
  </r>
  <r>
    <x v="210"/>
    <s v="February"/>
    <s v="SP500"/>
    <n v="3873.71"/>
    <n v="3928.65"/>
    <n v="3859.6"/>
    <n v="3925.43"/>
    <n v="5942350000"/>
    <x v="0"/>
    <s v="Feb"/>
  </r>
  <r>
    <x v="211"/>
    <s v="February"/>
    <s v="SP500"/>
    <n v="3916.4"/>
    <n v="3925.99"/>
    <n v="3890.39"/>
    <n v="3916.38"/>
    <n v="4570080000"/>
    <x v="0"/>
    <s v="Feb"/>
  </r>
  <r>
    <x v="212"/>
    <s v="February"/>
    <s v="SP500"/>
    <n v="3915.8"/>
    <n v="3925.02"/>
    <n v="3814.04"/>
    <n v="3829.34"/>
    <n v="6513060000"/>
    <x v="0"/>
    <s v="Feb"/>
  </r>
  <r>
    <x v="213"/>
    <s v="February"/>
    <s v="SP500"/>
    <n v="3915.86"/>
    <n v="3921.98"/>
    <n v="3885.03"/>
    <n v="3913.97"/>
    <n v="4773430000"/>
    <x v="0"/>
    <s v="Feb"/>
  </r>
  <r>
    <x v="214"/>
    <s v="March"/>
    <s v="SP500"/>
    <n v="3879.34"/>
    <n v="3919.54"/>
    <n v="3853.5"/>
    <n v="3909.52"/>
    <n v="4940800000"/>
    <x v="0"/>
    <s v="Mar"/>
  </r>
  <r>
    <x v="215"/>
    <s v="February"/>
    <s v="SP500"/>
    <n v="3910.49"/>
    <n v="3918.35"/>
    <n v="3902.64"/>
    <n v="3911.23"/>
    <n v="4554610000"/>
    <x v="0"/>
    <s v="Feb"/>
  </r>
  <r>
    <x v="216"/>
    <s v="March"/>
    <s v="SP500"/>
    <n v="3891.99"/>
    <n v="3917.35"/>
    <n v="3885.73"/>
    <n v="3898.81"/>
    <n v="5827250000"/>
    <x v="0"/>
    <s v="Mar"/>
  </r>
  <r>
    <x v="217"/>
    <s v="February"/>
    <s v="SP500"/>
    <n v="3892.59"/>
    <n v="3915.77"/>
    <n v="3892.59"/>
    <n v="3915.59"/>
    <n v="4635030000"/>
    <x v="0"/>
    <s v="Feb"/>
  </r>
  <r>
    <x v="218"/>
    <s v="March"/>
    <s v="SP500"/>
    <n v="3842.51"/>
    <n v="3914.5"/>
    <n v="3842.51"/>
    <n v="3901.82"/>
    <n v="5071540000"/>
    <x v="0"/>
    <s v="Mar"/>
  </r>
  <r>
    <x v="219"/>
    <s v="March"/>
    <s v="SP500"/>
    <n v="3903.64"/>
    <n v="3906.41"/>
    <n v="3868.57"/>
    <n v="3870.29"/>
    <n v="5493690000"/>
    <x v="0"/>
    <s v="Mar"/>
  </r>
  <r>
    <x v="220"/>
    <s v="March"/>
    <s v="SP500"/>
    <n v="3851.93"/>
    <n v="3903.76"/>
    <n v="3851.93"/>
    <n v="3875.44"/>
    <n v="5496340000"/>
    <x v="0"/>
    <s v="Mar"/>
  </r>
  <r>
    <x v="221"/>
    <s v="February"/>
    <s v="SP500"/>
    <n v="3885.55"/>
    <n v="3902.92"/>
    <n v="3874.71"/>
    <n v="3876.5"/>
    <n v="5870190000"/>
    <x v="0"/>
    <s v="Feb"/>
  </r>
  <r>
    <x v="222"/>
    <s v="February"/>
    <s v="SP500"/>
    <n v="3857.07"/>
    <n v="3895.98"/>
    <n v="3805.59"/>
    <n v="3881.37"/>
    <n v="6280650000"/>
    <x v="0"/>
    <s v="Feb"/>
  </r>
  <r>
    <x v="223"/>
    <s v="February"/>
    <s v="SP500"/>
    <n v="3878.3"/>
    <n v="3894.56"/>
    <n v="3874.93"/>
    <n v="3886.83"/>
    <n v="4838580000"/>
    <x v="0"/>
    <s v="Feb"/>
  </r>
  <r>
    <x v="224"/>
    <s v="March"/>
    <s v="SP500"/>
    <n v="3844.39"/>
    <n v="3881.06"/>
    <n v="3819.25"/>
    <n v="3821.35"/>
    <n v="5852240000"/>
    <x v="0"/>
    <s v="Mar"/>
  </r>
  <r>
    <x v="225"/>
    <s v="March"/>
    <s v="SP500"/>
    <n v="3863.99"/>
    <n v="3874.47"/>
    <n v="3818.86"/>
    <n v="3819.72"/>
    <n v="6150790000"/>
    <x v="0"/>
    <s v="Mar"/>
  </r>
  <r>
    <x v="226"/>
    <s v="February"/>
    <s v="SP500"/>
    <n v="3836.66"/>
    <n v="3872.42"/>
    <n v="3836.66"/>
    <n v="3871.74"/>
    <n v="4856670000"/>
    <x v="0"/>
    <s v="Feb"/>
  </r>
  <r>
    <x v="227"/>
    <s v="January"/>
    <s v="SP500"/>
    <n v="3862.96"/>
    <n v="3870.9"/>
    <n v="3847.78"/>
    <n v="3849.62"/>
    <n v="6029090000"/>
    <x v="0"/>
    <s v="Jan"/>
  </r>
  <r>
    <x v="228"/>
    <s v="January"/>
    <s v="SP500"/>
    <n v="3857.46"/>
    <n v="3861.45"/>
    <n v="3845.05"/>
    <n v="3853.07"/>
    <n v="4484460000"/>
    <x v="0"/>
    <s v="Jan"/>
  </r>
  <r>
    <x v="229"/>
    <s v="February"/>
    <s v="SP500"/>
    <n v="3839.66"/>
    <n v="3861.08"/>
    <n v="3789.54"/>
    <n v="3811.15"/>
    <n v="6512950000"/>
    <x v="0"/>
    <s v="Feb"/>
  </r>
  <r>
    <x v="230"/>
    <s v="January"/>
    <s v="SP500"/>
    <n v="3816.22"/>
    <n v="3859.75"/>
    <n v="3816.22"/>
    <n v="3851.85"/>
    <n v="4551790000"/>
    <x v="0"/>
    <s v="Jan"/>
  </r>
  <r>
    <x v="231"/>
    <s v="January"/>
    <s v="SP500"/>
    <n v="3851.68"/>
    <n v="3859.23"/>
    <n v="3797.16"/>
    <n v="3855.36"/>
    <n v="6955860000"/>
    <x v="0"/>
    <s v="Jan"/>
  </r>
  <r>
    <x v="232"/>
    <s v="January"/>
    <s v="SP500"/>
    <n v="3844.24"/>
    <n v="3852.31"/>
    <n v="3830.41"/>
    <n v="3841.47"/>
    <n v="5080430000"/>
    <x v="0"/>
    <s v="Jan"/>
  </r>
  <r>
    <x v="233"/>
    <s v="March"/>
    <s v="SP500"/>
    <n v="3793.58"/>
    <n v="3851.69"/>
    <n v="3730.19"/>
    <n v="3841.94"/>
    <n v="6842570000"/>
    <x v="0"/>
    <s v="Mar"/>
  </r>
  <r>
    <x v="234"/>
    <s v="February"/>
    <s v="SP500"/>
    <n v="3840.27"/>
    <n v="3847.51"/>
    <n v="3816.68"/>
    <n v="3830.17"/>
    <n v="4846900000"/>
    <x v="0"/>
    <s v="Feb"/>
  </r>
  <r>
    <x v="235"/>
    <s v="March"/>
    <s v="SP500"/>
    <n v="3818.53"/>
    <n v="3843.67"/>
    <n v="3723.34"/>
    <n v="3768.47"/>
    <n v="7142240000"/>
    <x v="0"/>
    <s v="Mar"/>
  </r>
  <r>
    <x v="236"/>
    <s v="February"/>
    <s v="SP500"/>
    <n v="3791.84"/>
    <n v="3843.09"/>
    <n v="3791.84"/>
    <n v="3826.31"/>
    <n v="5495370000"/>
    <x v="0"/>
    <s v="Feb"/>
  </r>
  <r>
    <x v="237"/>
    <s v="January"/>
    <s v="SP500"/>
    <n v="3836.83"/>
    <n v="3836.83"/>
    <n v="3732.48"/>
    <n v="3750.77"/>
    <n v="9878040000"/>
    <x v="0"/>
    <s v="Jan"/>
  </r>
  <r>
    <x v="238"/>
    <s v="January"/>
    <s v="SP500"/>
    <n v="3755.75"/>
    <n v="3830.5"/>
    <n v="3755.75"/>
    <n v="3787.38"/>
    <n v="6937960000"/>
    <x v="0"/>
    <s v="Jan"/>
  </r>
  <r>
    <x v="239"/>
    <s v="January"/>
    <s v="SP500"/>
    <n v="3815.05"/>
    <n v="3826.69"/>
    <n v="3783.6"/>
    <n v="3824.68"/>
    <n v="4764180000"/>
    <x v="0"/>
    <s v="Jan"/>
  </r>
  <r>
    <x v="240"/>
    <s v="January"/>
    <s v="SP500"/>
    <n v="3814.98"/>
    <n v="3823.6"/>
    <n v="3792.86"/>
    <n v="3795.54"/>
    <n v="5180140000"/>
    <x v="0"/>
    <s v="Jan"/>
  </r>
  <r>
    <x v="241"/>
    <s v="January"/>
    <s v="SP500"/>
    <n v="3802.23"/>
    <n v="3820.96"/>
    <n v="3791.5"/>
    <n v="3809.84"/>
    <n v="4590420000"/>
    <x v="0"/>
    <s v="Jan"/>
  </r>
  <r>
    <x v="242"/>
    <s v="January"/>
    <s v="SP500"/>
    <n v="3803.14"/>
    <n v="3817.86"/>
    <n v="3789.02"/>
    <n v="3799.61"/>
    <n v="4450500000"/>
    <x v="0"/>
    <s v="Jan"/>
  </r>
  <r>
    <x v="243"/>
    <s v="January"/>
    <s v="SP500"/>
    <n v="3764.71"/>
    <n v="3811.55"/>
    <n v="3764.71"/>
    <n v="3803.79"/>
    <n v="5080870000"/>
    <x v="0"/>
    <s v="Jan"/>
  </r>
  <r>
    <x v="244"/>
    <s v="January"/>
    <s v="SP500"/>
    <n v="3801.62"/>
    <n v="3810.78"/>
    <n v="3776.51"/>
    <n v="3801.19"/>
    <n v="4977210000"/>
    <x v="0"/>
    <s v="Jan"/>
  </r>
  <r>
    <x v="245"/>
    <s v="January"/>
    <s v="SP500"/>
    <n v="3781.88"/>
    <n v="3804.53"/>
    <n v="3780.37"/>
    <n v="3798.91"/>
    <n v="4982940000"/>
    <x v="0"/>
    <s v="Jan"/>
  </r>
  <r>
    <x v="246"/>
    <s v="January"/>
    <s v="SP500"/>
    <n v="3788.73"/>
    <n v="3788.73"/>
    <n v="3749.62"/>
    <n v="3768.25"/>
    <n v="5353060000"/>
    <x v="0"/>
    <s v="Jan"/>
  </r>
  <r>
    <x v="247"/>
    <s v="February"/>
    <s v="SP500"/>
    <n v="3731.17"/>
    <n v="3784.32"/>
    <n v="3725.62"/>
    <n v="3773.86"/>
    <n v="5392870000"/>
    <x v="0"/>
    <s v="Feb"/>
  </r>
  <r>
    <x v="248"/>
    <s v="January"/>
    <s v="SP500"/>
    <n v="3712.2"/>
    <n v="3783.04"/>
    <n v="3705.34"/>
    <n v="3748.14"/>
    <n v="6049970000"/>
    <x v="0"/>
    <s v="Jan"/>
  </r>
  <r>
    <x v="249"/>
    <s v="January"/>
    <s v="SP500"/>
    <n v="3778.05"/>
    <n v="3778.05"/>
    <n v="3694.12"/>
    <n v="3714.24"/>
    <n v="6612570000"/>
    <x v="0"/>
    <s v="Jan"/>
  </r>
  <r>
    <x v="250"/>
    <s v="January"/>
    <s v="SP500"/>
    <n v="3764.61"/>
    <n v="3769.99"/>
    <n v="3662.71"/>
    <n v="3700.65"/>
    <n v="5006680000"/>
    <x v="0"/>
    <s v="Jan"/>
  </r>
  <r>
    <x v="251"/>
    <s v="January"/>
    <s v="SP500"/>
    <n v="3698.02"/>
    <n v="3737.83"/>
    <n v="3695.07"/>
    <n v="3726.86"/>
    <n v="4582620000"/>
    <x v="0"/>
    <s v="Jan"/>
  </r>
  <r>
    <x v="250"/>
    <s v="Jan"/>
    <s v="BTCUSD"/>
    <n v="33617.300000000003"/>
    <n v="33669"/>
    <n v="27632.34"/>
    <n v="31203.46"/>
    <n v="4603.92"/>
    <x v="1"/>
    <e v="#REF!"/>
  </r>
  <r>
    <x v="185"/>
    <s v="May"/>
    <s v="BTCUSD"/>
    <n v="40570.980000000003"/>
    <n v="40867.4"/>
    <n v="28700"/>
    <n v="38411.14"/>
    <n v="18000.98"/>
    <x v="1"/>
    <e v="#REF!"/>
  </r>
  <r>
    <x v="228"/>
    <s v="Jan"/>
    <s v="BTCUSD"/>
    <n v="34603.74"/>
    <n v="35000"/>
    <n v="28800"/>
    <n v="30943.32"/>
    <n v="7290.52"/>
    <x v="1"/>
    <e v="#REF!"/>
  </r>
  <r>
    <x v="135"/>
    <s v="Jun"/>
    <s v="BTCUSD"/>
    <n v="33029.769999999997"/>
    <n v="34392.050000000003"/>
    <n v="28801"/>
    <n v="33992.879999999997"/>
    <n v="10036.629999999999"/>
    <x v="1"/>
    <e v="#REF!"/>
  </r>
  <r>
    <x v="237"/>
    <s v="Jan"/>
    <s v="BTCUSD"/>
    <n v="31852.6"/>
    <n v="32059.73"/>
    <n v="29191.9"/>
    <n v="31514.54"/>
    <n v="5779.14"/>
    <x v="1"/>
    <e v="#REF!"/>
  </r>
  <r>
    <x v="124"/>
    <s v="Jul"/>
    <s v="BTCUSD"/>
    <n v="29605.35"/>
    <n v="30005.72"/>
    <n v="29284.35"/>
    <n v="29853.86"/>
    <n v="2075.2800000000002"/>
    <x v="1"/>
    <e v="#REF!"/>
  </r>
  <r>
    <x v="129"/>
    <s v="Jul"/>
    <s v="BTCUSD"/>
    <n v="31547.22"/>
    <n v="31890.59"/>
    <n v="29500"/>
    <n v="29605.35"/>
    <n v="2184.44"/>
    <x v="1"/>
    <e v="#REF!"/>
  </r>
  <r>
    <x v="120"/>
    <s v="Jul"/>
    <s v="BTCUSD"/>
    <n v="29853.86"/>
    <n v="32950"/>
    <n v="29853.86"/>
    <n v="31947.52"/>
    <n v="3023.28"/>
    <x v="1"/>
    <e v="#REF!"/>
  </r>
  <r>
    <x v="251"/>
    <s v="Jan"/>
    <s v="BTCUSD"/>
    <n v="31203.46"/>
    <n v="34536.29"/>
    <n v="29914.5"/>
    <n v="34228.19"/>
    <n v="3056.56"/>
    <x v="1"/>
    <e v="#REF!"/>
  </r>
  <r>
    <x v="252"/>
    <s v="Jun"/>
    <s v="BTCUSD"/>
    <n v="31983.86"/>
    <n v="33209.589999999997"/>
    <n v="30142.68"/>
    <n v="33149.18"/>
    <n v="3583.91"/>
    <x v="1"/>
    <e v="#REF!"/>
  </r>
  <r>
    <x v="242"/>
    <s v="Jan"/>
    <s v="BTCUSD"/>
    <n v="35435.129999999997"/>
    <n v="36323.25"/>
    <n v="30250"/>
    <n v="35000"/>
    <n v="12556.01"/>
    <x v="1"/>
    <e v="#REF!"/>
  </r>
  <r>
    <x v="232"/>
    <s v="Jan"/>
    <s v="BTCUSD"/>
    <n v="30943.32"/>
    <n v="33880"/>
    <n v="30473.87"/>
    <n v="32393.63"/>
    <n v="2869.23"/>
    <x v="1"/>
    <e v="#REF!"/>
  </r>
  <r>
    <x v="227"/>
    <s v="Jan"/>
    <s v="BTCUSD"/>
    <n v="31557.64"/>
    <n v="32951"/>
    <n v="30833.97"/>
    <n v="31852.6"/>
    <n v="2542.86"/>
    <x v="1"/>
    <e v="#REF!"/>
  </r>
  <r>
    <x v="238"/>
    <s v="Jan"/>
    <s v="BTCUSD"/>
    <n v="31514.54"/>
    <n v="34671.769999999997"/>
    <n v="30866.39"/>
    <n v="33864.01"/>
    <n v="4614.55"/>
    <x v="1"/>
    <e v="#REF!"/>
  </r>
  <r>
    <x v="253"/>
    <s v="Jan"/>
    <s v="BTCUSD"/>
    <n v="32500"/>
    <n v="33672.18"/>
    <n v="30958"/>
    <n v="33585.440000000002"/>
    <n v="1668.48"/>
    <x v="1"/>
    <e v="#REF!"/>
  </r>
  <r>
    <x v="142"/>
    <s v="Jun"/>
    <s v="BTCUSD"/>
    <n v="32843.15"/>
    <n v="33841.46"/>
    <n v="31000.01"/>
    <n v="32898.06"/>
    <n v="5149.1899999999996"/>
    <x v="1"/>
    <e v="#REF!"/>
  </r>
  <r>
    <x v="111"/>
    <s v="Jul"/>
    <s v="BTCUSD"/>
    <n v="31924.93"/>
    <n v="32252.21"/>
    <n v="31027.01"/>
    <n v="31313.83"/>
    <n v="1355.02"/>
    <x v="1"/>
    <e v="#REF!"/>
  </r>
  <r>
    <x v="254"/>
    <s v="May"/>
    <s v="BTCUSD"/>
    <n v="37484.18"/>
    <n v="37484.18"/>
    <n v="31104.14"/>
    <n v="35318.86"/>
    <n v="7143.1"/>
    <x v="1"/>
    <e v="#REF!"/>
  </r>
  <r>
    <x v="255"/>
    <s v="Jul"/>
    <s v="BTCUSD"/>
    <n v="32169.82"/>
    <n v="32200.55"/>
    <n v="31123"/>
    <n v="31547.22"/>
    <n v="572.89"/>
    <x v="1"/>
    <e v="#REF!"/>
  </r>
  <r>
    <x v="117"/>
    <s v="Jul"/>
    <s v="BTCUSD"/>
    <n v="32671.54"/>
    <n v="32691.72"/>
    <n v="31135"/>
    <n v="31924.93"/>
    <n v="1534.41"/>
    <x v="1"/>
    <e v="#REF!"/>
  </r>
  <r>
    <x v="148"/>
    <s v="Jun"/>
    <s v="BTCUSD"/>
    <n v="34629.879999999997"/>
    <n v="34702.68"/>
    <n v="31176.42"/>
    <n v="33029.769999999997"/>
    <n v="7153.94"/>
    <x v="1"/>
    <e v="#REF!"/>
  </r>
  <r>
    <x v="256"/>
    <s v="Jul"/>
    <s v="BTCUSD"/>
    <n v="31313.83"/>
    <n v="32437.07"/>
    <n v="31206.23"/>
    <n v="32169.82"/>
    <n v="765.31"/>
    <x v="1"/>
    <e v="#REF!"/>
  </r>
  <r>
    <x v="131"/>
    <s v="Jun"/>
    <s v="BTCUSD"/>
    <n v="35100"/>
    <n v="35100"/>
    <n v="31303.71"/>
    <n v="31983.86"/>
    <n v="3682.14"/>
    <x v="1"/>
    <e v="#REF!"/>
  </r>
  <r>
    <x v="257"/>
    <s v="Jan"/>
    <s v="BTCUSD"/>
    <n v="32393.63"/>
    <n v="33479.49"/>
    <n v="31444"/>
    <n v="32500"/>
    <n v="942"/>
    <x v="1"/>
    <e v="#REF!"/>
  </r>
  <r>
    <x v="231"/>
    <s v="Jan"/>
    <s v="BTCUSD"/>
    <n v="33585.440000000002"/>
    <n v="34885.56"/>
    <n v="31481.38"/>
    <n v="31557.64"/>
    <n v="2502.7800000000002"/>
    <x v="1"/>
    <e v="#REF!"/>
  </r>
  <r>
    <x v="105"/>
    <s v="Jul"/>
    <s v="BTCUSD"/>
    <n v="31853.69"/>
    <n v="33189.99"/>
    <n v="31601.59"/>
    <n v="32671.54"/>
    <n v="1083.1199999999999"/>
    <x v="1"/>
    <e v="#REF!"/>
  </r>
  <r>
    <x v="106"/>
    <s v="Jul"/>
    <s v="BTCUSD"/>
    <n v="33087.26"/>
    <n v="33334.71"/>
    <n v="31661.01"/>
    <n v="31853.69"/>
    <n v="1282.07"/>
    <x v="1"/>
    <e v="#REF!"/>
  </r>
  <r>
    <x v="115"/>
    <s v="Jul"/>
    <s v="BTCUSD"/>
    <n v="31947.52"/>
    <n v="32806.46"/>
    <n v="31732.34"/>
    <n v="32598.43"/>
    <n v="1223.0999999999999"/>
    <x v="1"/>
    <e v="#REF!"/>
  </r>
  <r>
    <x v="249"/>
    <s v="Jan"/>
    <s v="BTCUSD"/>
    <n v="33864.01"/>
    <n v="38665.71"/>
    <n v="31968.27"/>
    <n v="33289.129999999997"/>
    <n v="7733.43"/>
    <x v="1"/>
    <e v="#REF!"/>
  </r>
  <r>
    <x v="100"/>
    <s v="Jul"/>
    <s v="BTCUSD"/>
    <n v="32598.43"/>
    <n v="33800"/>
    <n v="32000"/>
    <n v="33689.58"/>
    <n v="1319.58"/>
    <x v="1"/>
    <e v="#REF!"/>
  </r>
  <r>
    <x v="125"/>
    <s v="Jul"/>
    <s v="BTCUSD"/>
    <n v="33337"/>
    <n v="33493.24"/>
    <n v="32101"/>
    <n v="32954.75"/>
    <n v="2063.0100000000002"/>
    <x v="1"/>
    <e v="#REF!"/>
  </r>
  <r>
    <x v="244"/>
    <s v="Jan"/>
    <s v="BTCUSD"/>
    <n v="35000"/>
    <n v="36651.339999999997"/>
    <n v="32178.29"/>
    <n v="33804.230000000003"/>
    <n v="5245.77"/>
    <x v="1"/>
    <e v="#REF!"/>
  </r>
  <r>
    <x v="258"/>
    <s v="Jan"/>
    <s v="BTCUSD"/>
    <n v="33949.79"/>
    <n v="34205"/>
    <n v="32200"/>
    <n v="33608.78"/>
    <n v="1153.46"/>
    <x v="1"/>
    <e v="#REF!"/>
  </r>
  <r>
    <x v="132"/>
    <s v="Jun"/>
    <s v="BTCUSD"/>
    <n v="32606.959999999999"/>
    <n v="35274.9"/>
    <n v="32315.01"/>
    <n v="35100"/>
    <n v="2257.34"/>
    <x v="1"/>
    <e v="#REF!"/>
  </r>
  <r>
    <x v="134"/>
    <s v="Jun"/>
    <s v="BTCUSD"/>
    <n v="33992.879999999997"/>
    <n v="34851.199999999997"/>
    <n v="32355.040000000001"/>
    <n v="32606.959999999999"/>
    <n v="3413.98"/>
    <x v="1"/>
    <e v="#REF!"/>
  </r>
  <r>
    <x v="259"/>
    <s v="Jun"/>
    <s v="BTCUSD"/>
    <n v="33149.18"/>
    <n v="34983.42"/>
    <n v="32374.05"/>
    <n v="34388.620000000003"/>
    <n v="2229.39"/>
    <x v="1"/>
    <e v="#REF!"/>
  </r>
  <r>
    <x v="146"/>
    <s v="Jun"/>
    <s v="BTCUSD"/>
    <n v="36397.5"/>
    <n v="36798.03"/>
    <n v="32400.01"/>
    <n v="32843.15"/>
    <n v="3518.6"/>
    <x v="1"/>
    <e v="#REF!"/>
  </r>
  <r>
    <x v="141"/>
    <s v="Jun"/>
    <s v="BTCUSD"/>
    <n v="32898.06"/>
    <n v="37676.6"/>
    <n v="32575.84"/>
    <n v="36982.83"/>
    <n v="4190.37"/>
    <x v="1"/>
    <e v="#REF!"/>
  </r>
  <r>
    <x v="114"/>
    <s v="Jul"/>
    <s v="BTCUSD"/>
    <n v="32954.75"/>
    <n v="34262.53"/>
    <n v="32625.74"/>
    <n v="33799.81"/>
    <n v="1273.26"/>
    <x v="1"/>
    <e v="#REF!"/>
  </r>
  <r>
    <x v="107"/>
    <s v="Jul"/>
    <s v="BTCUSD"/>
    <n v="34452.39"/>
    <n v="34670.21"/>
    <n v="32669.89"/>
    <n v="33087.26"/>
    <n v="1322.29"/>
    <x v="1"/>
    <e v="#REF!"/>
  </r>
  <r>
    <x v="123"/>
    <s v="Jul"/>
    <s v="BTCUSD"/>
    <n v="32933.440000000002"/>
    <n v="33926.449999999997"/>
    <n v="32700"/>
    <n v="33540.480000000003"/>
    <n v="1321.23"/>
    <x v="1"/>
    <e v="#REF!"/>
  </r>
  <r>
    <x v="126"/>
    <s v="Jul"/>
    <s v="BTCUSD"/>
    <n v="34132.04"/>
    <n v="34475.550000000003"/>
    <n v="32722.69"/>
    <n v="32933.440000000002"/>
    <n v="2240.46"/>
    <x v="1"/>
    <e v="#REF!"/>
  </r>
  <r>
    <x v="241"/>
    <s v="Jan"/>
    <s v="BTCUSD"/>
    <n v="33804.230000000003"/>
    <n v="38188.33"/>
    <n v="32800"/>
    <n v="37040.699999999997"/>
    <n v="4049.91"/>
    <x v="1"/>
    <e v="#REF!"/>
  </r>
  <r>
    <x v="260"/>
    <s v="Jul"/>
    <s v="BTCUSD"/>
    <n v="33799.81"/>
    <n v="34195.26"/>
    <n v="33046"/>
    <n v="33420.839999999997"/>
    <n v="803.55"/>
    <x v="1"/>
    <e v="#REF!"/>
  </r>
  <r>
    <x v="119"/>
    <s v="Jul"/>
    <s v="BTCUSD"/>
    <n v="34465.35"/>
    <n v="35098.28"/>
    <n v="33094.639999999999"/>
    <n v="33337"/>
    <n v="1485.76"/>
    <x v="1"/>
    <e v="#REF!"/>
  </r>
  <r>
    <x v="261"/>
    <s v="Jul"/>
    <s v="BTCUSD"/>
    <n v="34360.839999999997"/>
    <n v="34559.72"/>
    <n v="33100"/>
    <n v="33942.22"/>
    <n v="1323.66"/>
    <x v="1"/>
    <e v="#REF!"/>
  </r>
  <r>
    <x v="262"/>
    <s v="Jan"/>
    <s v="BTCUSD"/>
    <n v="40490.5"/>
    <n v="41196.620000000003"/>
    <n v="33100"/>
    <n v="35435.129999999997"/>
    <n v="5913.67"/>
    <x v="1"/>
    <e v="#REF!"/>
  </r>
  <r>
    <x v="247"/>
    <s v="Feb"/>
    <s v="BTCUSD"/>
    <n v="33608.78"/>
    <n v="34700"/>
    <n v="33106.089999999997"/>
    <n v="33589.89"/>
    <n v="2134.59"/>
    <x v="1"/>
    <e v="#REF!"/>
  </r>
  <r>
    <x v="263"/>
    <s v="Jan"/>
    <s v="BTCUSD"/>
    <n v="33289.129999999997"/>
    <n v="34805.65"/>
    <n v="33153.17"/>
    <n v="33949.79"/>
    <n v="1379.03"/>
    <x v="1"/>
    <e v="#REF!"/>
  </r>
  <r>
    <x v="264"/>
    <s v="Jul"/>
    <s v="BTCUSD"/>
    <n v="33420.839999999997"/>
    <n v="34602"/>
    <n v="33333.01"/>
    <n v="34452.39"/>
    <n v="816.86"/>
    <x v="1"/>
    <e v="#REF!"/>
  </r>
  <r>
    <x v="265"/>
    <s v="Jun"/>
    <s v="BTCUSD"/>
    <n v="35520.660000000003"/>
    <n v="36128.129999999997"/>
    <n v="33333.01"/>
    <n v="34629.879999999997"/>
    <n v="2816.74"/>
    <x v="1"/>
    <e v="#REF!"/>
  </r>
  <r>
    <x v="230"/>
    <s v="Jan"/>
    <s v="BTCUSD"/>
    <n v="35075.53"/>
    <n v="35964.949999999997"/>
    <n v="33400"/>
    <n v="34603.74"/>
    <n v="2900.01"/>
    <x v="1"/>
    <e v="#REF!"/>
  </r>
  <r>
    <x v="266"/>
    <s v="May"/>
    <s v="BTCUSD"/>
    <n v="36503.31"/>
    <n v="37320"/>
    <n v="33410.29"/>
    <n v="34805.29"/>
    <n v="2212.16"/>
    <x v="1"/>
    <e v="#REF!"/>
  </r>
  <r>
    <x v="267"/>
    <s v="Jul"/>
    <s v="BTCUSD"/>
    <n v="33540.480000000003"/>
    <n v="34942.559999999998"/>
    <n v="33466.620000000003"/>
    <n v="34670"/>
    <n v="647.92999999999995"/>
    <x v="1"/>
    <e v="#REF!"/>
  </r>
  <r>
    <x v="166"/>
    <s v="May"/>
    <s v="BTCUSD"/>
    <n v="40773.519999999997"/>
    <n v="41796.74"/>
    <n v="33500"/>
    <n v="36963.519999999997"/>
    <n v="7491.23"/>
    <x v="1"/>
    <e v="#REF!"/>
  </r>
  <r>
    <x v="121"/>
    <s v="Jul"/>
    <s v="BTCUSD"/>
    <n v="33942.22"/>
    <n v="35114.32"/>
    <n v="33530.400000000001"/>
    <n v="34465.35"/>
    <n v="2039.5"/>
    <x v="1"/>
    <e v="#REF!"/>
  </r>
  <r>
    <x v="236"/>
    <s v="Feb"/>
    <s v="BTCUSD"/>
    <n v="33589.89"/>
    <n v="36545.050000000003"/>
    <n v="33535.61"/>
    <n v="36467.279999999999"/>
    <n v="2328.35"/>
    <x v="1"/>
    <e v="#REF!"/>
  </r>
  <r>
    <x v="268"/>
    <s v="Jul"/>
    <s v="BTCUSD"/>
    <n v="33689.58"/>
    <n v="34525.5"/>
    <n v="33582.400000000001"/>
    <n v="34192.14"/>
    <n v="785.46"/>
    <x v="1"/>
    <e v="#REF!"/>
  </r>
  <r>
    <x v="248"/>
    <s v="Jan"/>
    <s v="BTCUSD"/>
    <n v="34228.19"/>
    <n v="37824.480000000003"/>
    <n v="33685.82"/>
    <n v="37613.11"/>
    <n v="4925"/>
    <x v="1"/>
    <e v="#REF!"/>
  </r>
  <r>
    <x v="269"/>
    <s v="Jan"/>
    <s v="BTCUSD"/>
    <n v="36215.22"/>
    <n v="36840.11"/>
    <n v="33868.959999999999"/>
    <n v="35089.93"/>
    <n v="1759.94"/>
    <x v="1"/>
    <e v="#REF!"/>
  </r>
  <r>
    <x v="130"/>
    <s v="Jun"/>
    <s v="BTCUSD"/>
    <n v="34388.620000000003"/>
    <n v="35286.03"/>
    <n v="33885.15"/>
    <n v="34591.620000000003"/>
    <n v="2923.54"/>
    <x v="1"/>
    <e v="#REF!"/>
  </r>
  <r>
    <x v="270"/>
    <s v="Jul"/>
    <s v="BTCUSD"/>
    <n v="34192.14"/>
    <n v="39782.93"/>
    <n v="33894.22"/>
    <n v="38312.57"/>
    <n v="3558.08"/>
    <x v="1"/>
    <e v="#REF!"/>
  </r>
  <r>
    <x v="127"/>
    <s v="Jun"/>
    <s v="BTCUSD"/>
    <n v="35095.440000000002"/>
    <n v="35333.25"/>
    <n v="34050"/>
    <n v="34132.04"/>
    <n v="2031.63"/>
    <x v="1"/>
    <e v="#REF!"/>
  </r>
  <r>
    <x v="271"/>
    <s v="May"/>
    <s v="BTCUSD"/>
    <n v="34536.71"/>
    <n v="37912.870000000003"/>
    <n v="34200"/>
    <n v="36702.879999999997"/>
    <n v="1649.4"/>
    <x v="1"/>
    <e v="#REF!"/>
  </r>
  <r>
    <x v="272"/>
    <s v="Jul"/>
    <s v="BTCUSD"/>
    <n v="34670"/>
    <n v="35985.71"/>
    <n v="34211.29"/>
    <n v="34360.839999999997"/>
    <n v="1073.5999999999999"/>
    <x v="1"/>
    <e v="#REF!"/>
  </r>
  <r>
    <x v="273"/>
    <s v="May"/>
    <s v="BTCUSD"/>
    <n v="34805.29"/>
    <n v="36523.24"/>
    <n v="34298.01"/>
    <n v="34536.71"/>
    <n v="1562.38"/>
    <x v="1"/>
    <e v="#REF!"/>
  </r>
  <r>
    <x v="246"/>
    <s v="Jan"/>
    <s v="BTCUSD"/>
    <n v="38706.519999999997"/>
    <n v="38849.96"/>
    <n v="34353.629999999997"/>
    <n v="36549.31"/>
    <n v="4503.99"/>
    <x v="1"/>
    <e v="#REF!"/>
  </r>
  <r>
    <x v="154"/>
    <s v="May"/>
    <s v="BTCUSD"/>
    <n v="35318.86"/>
    <n v="39953.65"/>
    <n v="34426.410000000003"/>
    <n v="38388.089999999997"/>
    <n v="4706.08"/>
    <x v="1"/>
    <e v="#REF!"/>
  </r>
  <r>
    <x v="128"/>
    <s v="Jun"/>
    <s v="BTCUSD"/>
    <n v="34591.620000000003"/>
    <n v="36661.800000000003"/>
    <n v="34556.07"/>
    <n v="35095.440000000002"/>
    <n v="3012.66"/>
    <x v="1"/>
    <e v="#REF!"/>
  </r>
  <r>
    <x v="150"/>
    <s v="May"/>
    <s v="BTCUSD"/>
    <n v="38271.589999999997"/>
    <n v="38271.589999999997"/>
    <n v="34558"/>
    <n v="36503.31"/>
    <n v="3541.35"/>
    <x v="1"/>
    <e v="#REF!"/>
  </r>
  <r>
    <x v="274"/>
    <s v="Jun"/>
    <s v="BTCUSD"/>
    <n v="35591.29"/>
    <n v="36222.800000000003"/>
    <n v="34655.99"/>
    <n v="34877.300000000003"/>
    <n v="1298.1600000000001"/>
    <x v="1"/>
    <e v="#REF!"/>
  </r>
  <r>
    <x v="275"/>
    <s v="Jan"/>
    <s v="BTCUSD"/>
    <n v="35089.93"/>
    <n v="37469.21"/>
    <n v="34778"/>
    <n v="36509.42"/>
    <n v="2083.84"/>
    <x v="1"/>
    <e v="#REF!"/>
  </r>
  <r>
    <x v="276"/>
    <s v="Jun"/>
    <s v="BTCUSD"/>
    <n v="34877.300000000003"/>
    <n v="39816.720000000001"/>
    <n v="34792.660000000003"/>
    <n v="38988.5"/>
    <n v="2406.83"/>
    <x v="1"/>
    <e v="#REF!"/>
  </r>
  <r>
    <x v="277"/>
    <s v="Jun"/>
    <s v="BTCUSD"/>
    <n v="37419.82"/>
    <n v="37918.57"/>
    <n v="34820"/>
    <n v="36025.160000000003"/>
    <n v="2454.4299999999998"/>
    <x v="1"/>
    <e v="#REF!"/>
  </r>
  <r>
    <x v="156"/>
    <s v="Jun"/>
    <s v="BTCUSD"/>
    <n v="37938.199999999997"/>
    <n v="38129.089999999997"/>
    <n v="34845.33"/>
    <n v="35129.230000000003"/>
    <n v="2958.68"/>
    <x v="1"/>
    <e v="#REF!"/>
  </r>
  <r>
    <x v="278"/>
    <s v="Jun"/>
    <s v="BTCUSD"/>
    <n v="35129.230000000003"/>
    <n v="36464.629999999997"/>
    <n v="34970.25"/>
    <n v="35520.660000000003"/>
    <n v="1611.01"/>
    <x v="1"/>
    <e v="#REF!"/>
  </r>
  <r>
    <x v="245"/>
    <s v="Jan"/>
    <s v="BTCUSD"/>
    <n v="36509.42"/>
    <n v="37934.199999999997"/>
    <n v="35005"/>
    <n v="35075.53"/>
    <n v="2726.29"/>
    <x v="1"/>
    <e v="#REF!"/>
  </r>
  <r>
    <x v="279"/>
    <s v="Jun"/>
    <s v="BTCUSD"/>
    <n v="36025.160000000003"/>
    <n v="36812.089999999997"/>
    <n v="35259.980000000003"/>
    <n v="36397.5"/>
    <n v="1007.72"/>
    <x v="1"/>
    <e v="#REF!"/>
  </r>
  <r>
    <x v="280"/>
    <s v="May"/>
    <s v="BTCUSD"/>
    <n v="36963.519999999997"/>
    <n v="38861.15"/>
    <n v="35272.089999999997"/>
    <n v="37484.18"/>
    <n v="2418.86"/>
    <x v="1"/>
    <e v="#REF!"/>
  </r>
  <r>
    <x v="139"/>
    <s v="Jun"/>
    <s v="BTCUSD"/>
    <n v="36784.370000000003"/>
    <n v="37690"/>
    <n v="35307.69"/>
    <n v="35591.29"/>
    <n v="2027.8"/>
    <x v="1"/>
    <e v="#REF!"/>
  </r>
  <r>
    <x v="281"/>
    <s v="Jan"/>
    <s v="BTCUSD"/>
    <n v="36549.31"/>
    <n v="37949.71"/>
    <n v="35400.01"/>
    <n v="36215.22"/>
    <n v="1855.53"/>
    <x v="1"/>
    <e v="#REF!"/>
  </r>
  <r>
    <x v="145"/>
    <s v="Jun"/>
    <s v="BTCUSD"/>
    <n v="37963.61"/>
    <n v="37963.61"/>
    <n v="35580.82"/>
    <n v="37419.82"/>
    <n v="2300.7600000000002"/>
    <x v="1"/>
    <e v="#REF!"/>
  </r>
  <r>
    <x v="234"/>
    <s v="Feb"/>
    <s v="BTCUSD"/>
    <n v="36467.279999999999"/>
    <n v="38375"/>
    <n v="35583.18"/>
    <n v="37551.56"/>
    <n v="2559.71"/>
    <x v="1"/>
    <e v="#REF!"/>
  </r>
  <r>
    <x v="144"/>
    <s v="Jun"/>
    <s v="BTCUSD"/>
    <n v="36702.879999999997"/>
    <n v="37448.019999999997"/>
    <n v="35687"/>
    <n v="36483.57"/>
    <n v="2347.2600000000002"/>
    <x v="1"/>
    <e v="#REF!"/>
  </r>
  <r>
    <x v="138"/>
    <s v="Jun"/>
    <s v="BTCUSD"/>
    <n v="36982.83"/>
    <n v="38437.019999999997"/>
    <n v="35819.67"/>
    <n v="36784.370000000003"/>
    <n v="2959.52"/>
    <x v="1"/>
    <e v="#REF!"/>
  </r>
  <r>
    <x v="243"/>
    <s v="Jan"/>
    <s v="BTCUSD"/>
    <n v="37613.11"/>
    <n v="40396"/>
    <n v="36129.050000000003"/>
    <n v="38474.78"/>
    <n v="5743.52"/>
    <x v="1"/>
    <e v="#REF!"/>
  </r>
  <r>
    <x v="226"/>
    <s v="Feb"/>
    <s v="BTCUSD"/>
    <n v="37551.56"/>
    <n v="38785.99"/>
    <n v="36211.08"/>
    <n v="37380.18"/>
    <n v="2637.09"/>
    <x v="1"/>
    <e v="#REF!"/>
  </r>
  <r>
    <x v="91"/>
    <s v="Jul"/>
    <s v="BTCUSD"/>
    <n v="38312.57"/>
    <n v="40572.449999999997"/>
    <n v="36400"/>
    <n v="36851.519999999997"/>
    <n v="5021.1099999999997"/>
    <x v="1"/>
    <e v="#REF!"/>
  </r>
  <r>
    <x v="151"/>
    <s v="Jun"/>
    <s v="BTCUSD"/>
    <n v="36483.57"/>
    <n v="38256.400000000001"/>
    <n v="36478.97"/>
    <n v="37655.54"/>
    <n v="1612.75"/>
    <x v="1"/>
    <e v="#REF!"/>
  </r>
  <r>
    <x v="152"/>
    <s v="May"/>
    <s v="BTCUSD"/>
    <n v="38388.089999999997"/>
    <n v="39760.959999999999"/>
    <n v="36489.42"/>
    <n v="39572.33"/>
    <n v="2909.35"/>
    <x v="1"/>
    <e v="#REF!"/>
  </r>
  <r>
    <x v="96"/>
    <s v="Jul"/>
    <s v="BTCUSD"/>
    <n v="36851.519999999997"/>
    <n v="40366.57"/>
    <n v="36713.129999999997"/>
    <n v="39848.44"/>
    <n v="5729.11"/>
    <x v="1"/>
    <e v="#REF!"/>
  </r>
  <r>
    <x v="240"/>
    <s v="Jan"/>
    <s v="BTCUSD"/>
    <n v="37040.699999999997"/>
    <n v="40112.79"/>
    <n v="36751.4"/>
    <n v="38706.519999999997"/>
    <n v="2686.51"/>
    <x v="1"/>
    <e v="#REF!"/>
  </r>
  <r>
    <x v="223"/>
    <s v="Feb"/>
    <s v="BTCUSD"/>
    <n v="37380.18"/>
    <n v="39700"/>
    <n v="37057.78"/>
    <n v="39415.760000000002"/>
    <n v="2032.78"/>
    <x v="1"/>
    <e v="#REF!"/>
  </r>
  <r>
    <x v="159"/>
    <s v="May"/>
    <s v="BTCUSD"/>
    <n v="39572.33"/>
    <n v="40861.199999999997"/>
    <n v="37117.089999999997"/>
    <n v="37672.47"/>
    <n v="3101.07"/>
    <x v="1"/>
    <e v="#REF!"/>
  </r>
  <r>
    <x v="147"/>
    <s v="Jun"/>
    <s v="BTCUSD"/>
    <n v="38875"/>
    <n v="39575.03"/>
    <n v="37221.620000000003"/>
    <n v="37938.199999999997"/>
    <n v="2524.23"/>
    <x v="1"/>
    <e v="#REF!"/>
  </r>
  <r>
    <x v="153"/>
    <s v="May"/>
    <s v="BTCUSD"/>
    <n v="37672.47"/>
    <n v="40432.400000000001"/>
    <n v="37302.06"/>
    <n v="38271.589999999997"/>
    <n v="2140.75"/>
    <x v="1"/>
    <e v="#REF!"/>
  </r>
  <r>
    <x v="89"/>
    <s v="Aug"/>
    <s v="BTCUSD"/>
    <n v="39440.620000000003"/>
    <n v="41431.18"/>
    <n v="37311.06"/>
    <n v="40250.79"/>
    <n v="3715.5"/>
    <x v="1"/>
    <e v="#REF!"/>
  </r>
  <r>
    <x v="157"/>
    <s v="Jun"/>
    <s v="BTCUSD"/>
    <n v="37655.54"/>
    <n v="39487.910000000003"/>
    <n v="37400"/>
    <n v="37963.61"/>
    <n v="1786.28"/>
    <x v="1"/>
    <e v="#REF!"/>
  </r>
  <r>
    <x v="282"/>
    <s v="Feb"/>
    <s v="BTCUSD"/>
    <n v="38897.949999999997"/>
    <n v="39748.959999999999"/>
    <n v="37400"/>
    <n v="38107.339999999997"/>
    <n v="1239.8699999999999"/>
    <x v="1"/>
    <e v="#REF!"/>
  </r>
  <r>
    <x v="97"/>
    <s v="Aug"/>
    <s v="BTCUSD"/>
    <n v="37962.25"/>
    <n v="39973.96"/>
    <n v="37472.15"/>
    <n v="39440.620000000003"/>
    <n v="1911.35"/>
    <x v="1"/>
    <e v="#REF!"/>
  </r>
  <r>
    <x v="90"/>
    <s v="Aug"/>
    <s v="BTCUSD"/>
    <n v="38650"/>
    <n v="38824.81"/>
    <n v="37558.089999999997"/>
    <n v="37962.25"/>
    <n v="2750.52"/>
    <x v="1"/>
    <e v="#REF!"/>
  </r>
  <r>
    <x v="239"/>
    <s v="Jan"/>
    <s v="BTCUSD"/>
    <n v="38474.78"/>
    <n v="41999.99"/>
    <n v="37574.79"/>
    <n v="40279.03"/>
    <n v="5661.85"/>
    <x v="1"/>
    <e v="#REF!"/>
  </r>
  <r>
    <x v="137"/>
    <s v="Jun"/>
    <s v="BTCUSD"/>
    <n v="40043.69"/>
    <n v="40490.019999999997"/>
    <n v="38059.01"/>
    <n v="38875"/>
    <n v="2783.6"/>
    <x v="1"/>
    <e v="#REF!"/>
  </r>
  <r>
    <x v="217"/>
    <s v="Feb"/>
    <s v="BTCUSD"/>
    <n v="38107.339999999997"/>
    <n v="47519.31"/>
    <n v="38060.68"/>
    <n v="46653.5"/>
    <n v="5944.37"/>
    <x v="1"/>
    <e v="#REF!"/>
  </r>
  <r>
    <x v="174"/>
    <s v="May"/>
    <s v="BTCUSD"/>
    <n v="38411.14"/>
    <n v="42625.43"/>
    <n v="38200"/>
    <n v="40773.519999999997"/>
    <n v="4981.3900000000003"/>
    <x v="1"/>
    <e v="#REF!"/>
  </r>
  <r>
    <x v="101"/>
    <s v="Jul"/>
    <s v="BTCUSD"/>
    <n v="39982.79"/>
    <n v="42400"/>
    <n v="38350"/>
    <n v="41840.36"/>
    <n v="2600.84"/>
    <x v="1"/>
    <e v="#REF!"/>
  </r>
  <r>
    <x v="283"/>
    <s v="Feb"/>
    <s v="BTCUSD"/>
    <n v="39415.760000000002"/>
    <n v="41000"/>
    <n v="38368.69"/>
    <n v="38897.949999999997"/>
    <n v="2002.11"/>
    <x v="1"/>
    <e v="#REF!"/>
  </r>
  <r>
    <x v="92"/>
    <s v="Aug"/>
    <s v="BTCUSD"/>
    <n v="39811.54"/>
    <n v="40446.58"/>
    <n v="38515"/>
    <n v="38650"/>
    <n v="1815.1"/>
    <x v="1"/>
    <e v="#REF!"/>
  </r>
  <r>
    <x v="284"/>
    <s v="Jan"/>
    <s v="BTCUSD"/>
    <n v="40279.03"/>
    <n v="41470.21"/>
    <n v="38768.82"/>
    <n v="40490.5"/>
    <n v="2678.95"/>
    <x v="1"/>
    <e v="#REF!"/>
  </r>
  <r>
    <x v="99"/>
    <s v="Jul"/>
    <s v="BTCUSD"/>
    <n v="39848.44"/>
    <n v="40928.46"/>
    <n v="38803.47"/>
    <n v="39638.769999999997"/>
    <n v="3682.36"/>
    <x v="1"/>
    <e v="#REF!"/>
  </r>
  <r>
    <x v="136"/>
    <s v="Jun"/>
    <s v="BTCUSD"/>
    <n v="38988.5"/>
    <n v="41060.769999999997"/>
    <n v="38807.5"/>
    <n v="40429.379999999997"/>
    <n v="2719.45"/>
    <x v="1"/>
    <e v="#REF!"/>
  </r>
  <r>
    <x v="285"/>
    <s v="Aug"/>
    <s v="BTCUSD"/>
    <n v="42461.13"/>
    <n v="42475.28"/>
    <n v="39213.050000000003"/>
    <n v="39811.54"/>
    <n v="1237.92"/>
    <x v="1"/>
    <e v="#REF!"/>
  </r>
  <r>
    <x v="88"/>
    <s v="Jul"/>
    <s v="BTCUSD"/>
    <n v="39638.769999999997"/>
    <n v="40639.14"/>
    <n v="39409.4"/>
    <n v="39982.79"/>
    <n v="1561.72"/>
    <x v="1"/>
    <e v="#REF!"/>
  </r>
  <r>
    <x v="133"/>
    <s v="Jun"/>
    <s v="BTCUSD"/>
    <n v="40429.379999999997"/>
    <n v="41380.019999999997"/>
    <n v="39503.9"/>
    <n v="40043.69"/>
    <n v="2687.61"/>
    <x v="1"/>
    <e v="#REF!"/>
  </r>
  <r>
    <x v="104"/>
    <s v="Sep"/>
    <s v="BTCUSD"/>
    <n v="42688.03"/>
    <n v="43655.53"/>
    <n v="39590"/>
    <n v="42089.88"/>
    <n v="2962.61"/>
    <x v="1"/>
    <e v="#REF!"/>
  </r>
  <r>
    <x v="84"/>
    <s v="Aug"/>
    <s v="BTCUSD"/>
    <n v="40250.79"/>
    <n v="43792.42"/>
    <n v="39897.39"/>
    <n v="43720"/>
    <n v="2238.33"/>
    <x v="1"/>
    <e v="#REF!"/>
  </r>
  <r>
    <x v="176"/>
    <s v="May"/>
    <s v="BTCUSD"/>
    <n v="44824.75"/>
    <n v="45860.17"/>
    <n v="40118"/>
    <n v="40570.980000000003"/>
    <n v="4778.04"/>
    <x v="1"/>
    <e v="#REF!"/>
  </r>
  <r>
    <x v="103"/>
    <s v="Sep"/>
    <s v="BTCUSD"/>
    <n v="45553.62"/>
    <n v="45837.9"/>
    <n v="40137.980000000003"/>
    <n v="42688.03"/>
    <n v="4373.38"/>
    <x v="1"/>
    <e v="#REF!"/>
  </r>
  <r>
    <x v="76"/>
    <s v="Sep"/>
    <s v="BTCUSD"/>
    <n v="44301"/>
    <n v="45157.81"/>
    <n v="40696"/>
    <n v="42650"/>
    <n v="4398.2700000000004"/>
    <x v="1"/>
    <e v="#REF!"/>
  </r>
  <r>
    <x v="93"/>
    <s v="Sep"/>
    <s v="BTCUSD"/>
    <n v="42565.16"/>
    <n v="42771.12"/>
    <n v="40764.26"/>
    <n v="42210.47"/>
    <n v="2104.5"/>
    <x v="1"/>
    <e v="#REF!"/>
  </r>
  <r>
    <x v="286"/>
    <s v="Sep"/>
    <s v="BTCUSD"/>
    <n v="42239.94"/>
    <n v="44350"/>
    <n v="40801.19"/>
    <n v="44024.27"/>
    <n v="1395.68"/>
    <x v="1"/>
    <e v="#REF!"/>
  </r>
  <r>
    <x v="108"/>
    <s v="Sep"/>
    <s v="BTCUSD"/>
    <n v="42210.47"/>
    <n v="43726.63"/>
    <n v="40908.410000000003"/>
    <n v="43601.2"/>
    <n v="1511.58"/>
    <x v="1"/>
    <e v="#REF!"/>
  </r>
  <r>
    <x v="287"/>
    <s v="Jul"/>
    <s v="BTCUSD"/>
    <n v="41840.36"/>
    <n v="42600"/>
    <n v="41072.589999999997"/>
    <n v="42461.13"/>
    <n v="687.36"/>
    <x v="1"/>
    <e v="#REF!"/>
  </r>
  <r>
    <x v="288"/>
    <s v="Sep"/>
    <s v="BTCUSD"/>
    <n v="42650"/>
    <n v="42985.06"/>
    <n v="41677.82"/>
    <n v="42239.94"/>
    <n v="1058.07"/>
    <x v="1"/>
    <e v="#REF!"/>
  </r>
  <r>
    <x v="95"/>
    <s v="Sep"/>
    <s v="BTCUSD"/>
    <n v="42089.88"/>
    <n v="44231.92"/>
    <n v="41836.589999999997"/>
    <n v="44094.55"/>
    <n v="1238.6099999999999"/>
    <x v="1"/>
    <e v="#REF!"/>
  </r>
  <r>
    <x v="79"/>
    <s v="Sep"/>
    <s v="BTCUSD"/>
    <n v="44024.27"/>
    <n v="44250.76"/>
    <n v="41980.4"/>
    <n v="42565.16"/>
    <n v="1531.06"/>
    <x v="1"/>
    <e v="#REF!"/>
  </r>
  <r>
    <x v="289"/>
    <s v="Dec"/>
    <s v="BTCUSD"/>
    <n v="52055.9"/>
    <n v="52644.42"/>
    <n v="42074.62"/>
    <n v="49249.56"/>
    <n v="5486.89"/>
    <x v="1"/>
    <e v="#REF!"/>
  </r>
  <r>
    <x v="175"/>
    <s v="May"/>
    <s v="BTCUSD"/>
    <n v="42902.09"/>
    <n v="45833.48"/>
    <n v="42080"/>
    <n v="44824.75"/>
    <n v="5764.37"/>
    <x v="1"/>
    <e v="#REF!"/>
  </r>
  <r>
    <x v="290"/>
    <s v="Aug"/>
    <s v="BTCUSD"/>
    <n v="43720"/>
    <n v="44837.59"/>
    <n v="42460"/>
    <n v="44391.34"/>
    <n v="3336.16"/>
    <x v="1"/>
    <e v="#REF!"/>
  </r>
  <r>
    <x v="55"/>
    <s v="Sep"/>
    <s v="BTCUSD"/>
    <n v="52663.45"/>
    <n v="52744.480000000003"/>
    <n v="42600"/>
    <n v="46490.38"/>
    <n v="4513.57"/>
    <x v="1"/>
    <e v="#REF!"/>
  </r>
  <r>
    <x v="109"/>
    <s v="Sep"/>
    <s v="BTCUSD"/>
    <n v="43601.2"/>
    <n v="44097.7"/>
    <n v="42702.71"/>
    <n v="43628.160000000003"/>
    <n v="1891.52"/>
    <x v="1"/>
    <e v="#REF!"/>
  </r>
  <r>
    <x v="291"/>
    <s v="May"/>
    <s v="BTCUSD"/>
    <n v="48383.6"/>
    <n v="49790"/>
    <n v="42793"/>
    <n v="42902.09"/>
    <n v="3937.04"/>
    <x v="1"/>
    <e v="#REF!"/>
  </r>
  <r>
    <x v="292"/>
    <s v="Aug"/>
    <s v="BTCUSD"/>
    <n v="44391.34"/>
    <n v="45386.81"/>
    <n v="42813.74"/>
    <n v="43529.34"/>
    <n v="2023.49"/>
    <x v="1"/>
    <e v="#REF!"/>
  </r>
  <r>
    <x v="293"/>
    <s v="Feb"/>
    <s v="BTCUSD"/>
    <n v="44673.36"/>
    <n v="46920"/>
    <n v="43033.66"/>
    <n v="46408.05"/>
    <n v="2188.54"/>
    <x v="1"/>
    <e v="#REF!"/>
  </r>
  <r>
    <x v="86"/>
    <s v="Aug"/>
    <s v="BTCUSD"/>
    <n v="43529.34"/>
    <n v="46729.86"/>
    <n v="43295.22"/>
    <n v="45727.39"/>
    <n v="3092.3"/>
    <x v="1"/>
    <e v="#REF!"/>
  </r>
  <r>
    <x v="75"/>
    <s v="Sep"/>
    <s v="BTCUSD"/>
    <n v="44094.55"/>
    <n v="45062.97"/>
    <n v="43389.94"/>
    <n v="44301"/>
    <n v="1699.82"/>
    <x v="1"/>
    <e v="#REF!"/>
  </r>
  <r>
    <x v="64"/>
    <s v="Sep"/>
    <s v="BTCUSD"/>
    <n v="44619.12"/>
    <n v="46897"/>
    <n v="43400"/>
    <n v="45206.43"/>
    <n v="2422.25"/>
    <x v="1"/>
    <e v="#REF!"/>
  </r>
  <r>
    <x v="110"/>
    <s v="Oct"/>
    <s v="BTCUSD"/>
    <n v="43628.160000000003"/>
    <n v="48495.68"/>
    <n v="43472.59"/>
    <n v="47555.51"/>
    <n v="3254.02"/>
    <x v="1"/>
    <e v="#REF!"/>
  </r>
  <r>
    <x v="207"/>
    <s v="Feb"/>
    <s v="BTCUSD"/>
    <n v="46309.88"/>
    <n v="47367.17"/>
    <n v="43762.99"/>
    <n v="45513.94"/>
    <n v="2479.69"/>
    <x v="1"/>
    <e v="#REF!"/>
  </r>
  <r>
    <x v="78"/>
    <s v="Aug"/>
    <s v="BTCUSD"/>
    <n v="45948.06"/>
    <n v="46023.08"/>
    <n v="43800"/>
    <n v="45205.46"/>
    <n v="1840.77"/>
    <x v="1"/>
    <e v="#REF!"/>
  </r>
  <r>
    <x v="94"/>
    <s v="Aug"/>
    <s v="BTCUSD"/>
    <n v="44074.77"/>
    <n v="47424.13"/>
    <n v="43902.53"/>
    <n v="47042.28"/>
    <n v="1566"/>
    <x v="1"/>
    <e v="#REF!"/>
  </r>
  <r>
    <x v="80"/>
    <s v="Aug"/>
    <s v="BTCUSD"/>
    <n v="45078.79"/>
    <n v="46031"/>
    <n v="44055"/>
    <n v="44074.77"/>
    <n v="1324.73"/>
    <x v="1"/>
    <e v="#REF!"/>
  </r>
  <r>
    <x v="229"/>
    <s v="Feb"/>
    <s v="BTCUSD"/>
    <n v="47360.43"/>
    <n v="48472.08"/>
    <n v="44121.24"/>
    <n v="47440"/>
    <n v="3297.57"/>
    <x v="1"/>
    <e v="#REF!"/>
  </r>
  <r>
    <x v="59"/>
    <s v="Sep"/>
    <s v="BTCUSD"/>
    <n v="46743.4"/>
    <n v="46812.87"/>
    <n v="44156.88"/>
    <n v="45181.52"/>
    <n v="1783.43"/>
    <x v="1"/>
    <e v="#REF!"/>
  </r>
  <r>
    <x v="77"/>
    <s v="Aug"/>
    <s v="BTCUSD"/>
    <n v="46435.44"/>
    <n v="47162.94"/>
    <n v="44211.13"/>
    <n v="45078.79"/>
    <n v="2149.38"/>
    <x v="1"/>
    <e v="#REF!"/>
  </r>
  <r>
    <x v="222"/>
    <s v="Feb"/>
    <s v="BTCUSD"/>
    <n v="51847.25"/>
    <n v="52294.87"/>
    <n v="44248"/>
    <n v="50965.74"/>
    <n v="6641.9"/>
    <x v="1"/>
    <e v="#REF!"/>
  </r>
  <r>
    <x v="58"/>
    <s v="Sep"/>
    <s v="BTCUSD"/>
    <n v="46490.38"/>
    <n v="46885.38"/>
    <n v="44419.5"/>
    <n v="46005.27"/>
    <n v="2277.31"/>
    <x v="1"/>
    <e v="#REF!"/>
  </r>
  <r>
    <x v="211"/>
    <s v="Feb"/>
    <s v="BTCUSD"/>
    <n v="45513.94"/>
    <n v="48975"/>
    <n v="44457.55"/>
    <n v="47624.29"/>
    <n v="2589"/>
    <x v="1"/>
    <e v="#REF!"/>
  </r>
  <r>
    <x v="294"/>
    <s v="Feb"/>
    <s v="BTCUSD"/>
    <n v="47440"/>
    <n v="48380.14"/>
    <n v="44510"/>
    <n v="44673.36"/>
    <n v="1191.06"/>
    <x v="1"/>
    <e v="#REF!"/>
  </r>
  <r>
    <x v="295"/>
    <s v="Sep"/>
    <s v="BTCUSD"/>
    <n v="45311.46"/>
    <n v="46504.62"/>
    <n v="44535.26"/>
    <n v="44619.12"/>
    <n v="893.38"/>
    <x v="1"/>
    <e v="#REF!"/>
  </r>
  <r>
    <x v="82"/>
    <s v="Aug"/>
    <s v="BTCUSD"/>
    <n v="45727.39"/>
    <n v="46183.47"/>
    <n v="44642.21"/>
    <n v="45594.16"/>
    <n v="1768.99"/>
    <x v="1"/>
    <e v="#REF!"/>
  </r>
  <r>
    <x v="296"/>
    <s v="Sep"/>
    <s v="BTCUSD"/>
    <n v="45181.52"/>
    <n v="46001.33"/>
    <n v="44758.59"/>
    <n v="45311.46"/>
    <n v="685.32"/>
    <x v="1"/>
    <e v="#REF!"/>
  </r>
  <r>
    <x v="74"/>
    <s v="Aug"/>
    <s v="BTCUSD"/>
    <n v="45205.46"/>
    <n v="47900"/>
    <n v="44952.59"/>
    <n v="47571.64"/>
    <n v="1609.57"/>
    <x v="1"/>
    <e v="#REF!"/>
  </r>
  <r>
    <x v="181"/>
    <s v="May"/>
    <s v="BTCUSD"/>
    <n v="57820"/>
    <n v="57998.26"/>
    <n v="45000"/>
    <n v="50493.11"/>
    <n v="6438.29"/>
    <x v="1"/>
    <e v="#REF!"/>
  </r>
  <r>
    <x v="215"/>
    <s v="Feb"/>
    <s v="BTCUSD"/>
    <n v="46653.5"/>
    <n v="48201.23"/>
    <n v="45037.8"/>
    <n v="46309.88"/>
    <n v="2992.16"/>
    <x v="1"/>
    <e v="#REF!"/>
  </r>
  <r>
    <x v="70"/>
    <s v="Sep"/>
    <s v="BTCUSD"/>
    <n v="45206.43"/>
    <n v="47498.54"/>
    <n v="45067.51"/>
    <n v="47101.27"/>
    <n v="1516.06"/>
    <x v="1"/>
    <e v="#REF!"/>
  </r>
  <r>
    <x v="297"/>
    <s v="Sep"/>
    <s v="BTCUSD"/>
    <n v="47854.23"/>
    <n v="48333.32"/>
    <n v="45175.199999999997"/>
    <n v="45553.62"/>
    <n v="860.71"/>
    <x v="1"/>
    <e v="#REF!"/>
  </r>
  <r>
    <x v="71"/>
    <s v="Aug"/>
    <s v="BTCUSD"/>
    <n v="47400.89"/>
    <n v="47744.5"/>
    <n v="45250.51"/>
    <n v="46435.44"/>
    <n v="1687.08"/>
    <x v="1"/>
    <e v="#REF!"/>
  </r>
  <r>
    <x v="81"/>
    <s v="Aug"/>
    <s v="BTCUSD"/>
    <n v="45594.16"/>
    <n v="46775"/>
    <n v="45426.58"/>
    <n v="45948.06"/>
    <n v="1565.84"/>
    <x v="1"/>
    <e v="#REF!"/>
  </r>
  <r>
    <x v="29"/>
    <s v="Dec"/>
    <s v="BTCUSD"/>
    <n v="47779.8"/>
    <n v="48194.13"/>
    <n v="45463.96"/>
    <n v="46312.19"/>
    <n v="1294.0999999999999"/>
    <x v="1"/>
    <e v="#REF!"/>
  </r>
  <r>
    <x v="298"/>
    <s v="Aug"/>
    <s v="BTCUSD"/>
    <n v="46910.99"/>
    <n v="48044.25"/>
    <n v="45509.51"/>
    <n v="47400.89"/>
    <n v="1360.76"/>
    <x v="1"/>
    <e v="#REF!"/>
  </r>
  <r>
    <x v="45"/>
    <s v="Dec"/>
    <s v="BTCUSD"/>
    <n v="46709.08"/>
    <n v="48082.61"/>
    <n v="45579.18"/>
    <n v="47954.559999999998"/>
    <n v="954.7"/>
    <x v="1"/>
    <e v="#REF!"/>
  </r>
  <r>
    <x v="14"/>
    <s v="Dec"/>
    <s v="BTCUSD"/>
    <n v="48899.75"/>
    <n v="49348.69"/>
    <n v="45618.84"/>
    <n v="46968.47"/>
    <n v="1749.04"/>
    <x v="1"/>
    <e v="#REF!"/>
  </r>
  <r>
    <x v="4"/>
    <s v="Dec"/>
    <s v="BTCUSD"/>
    <n v="47207.99"/>
    <n v="48578.35"/>
    <n v="45641.11"/>
    <n v="46806.83"/>
    <n v="1591.71"/>
    <x v="1"/>
    <e v="#REF!"/>
  </r>
  <r>
    <x v="57"/>
    <s v="Sep"/>
    <s v="BTCUSD"/>
    <n v="46005.27"/>
    <n v="47396.38"/>
    <n v="45651.86"/>
    <n v="46743.4"/>
    <n v="1563.22"/>
    <x v="1"/>
    <e v="#REF!"/>
  </r>
  <r>
    <x v="218"/>
    <s v="Mar"/>
    <s v="BTCUSD"/>
    <n v="46408.05"/>
    <m/>
    <n v="45700.01"/>
    <n v="49023.76"/>
    <n v="3079.22"/>
    <x v="1"/>
    <e v="#REF!"/>
  </r>
  <r>
    <x v="299"/>
    <s v="Feb"/>
    <s v="BTCUSD"/>
    <n v="47381.8"/>
    <n v="49700"/>
    <n v="45830.01"/>
    <n v="47185.29"/>
    <n v="2174.9"/>
    <x v="1"/>
    <e v="#REF!"/>
  </r>
  <r>
    <x v="2"/>
    <s v="Dec"/>
    <s v="BTCUSD"/>
    <n v="48017.93"/>
    <n v="48075.97"/>
    <n v="45945.3"/>
    <n v="46502.44"/>
    <n v="1119.6300000000001"/>
    <x v="1"/>
    <e v="#REF!"/>
  </r>
  <r>
    <x v="212"/>
    <s v="Feb"/>
    <s v="BTCUSD"/>
    <n v="50266.89"/>
    <n v="52074"/>
    <n v="46000"/>
    <n v="47360.43"/>
    <n v="3900.71"/>
    <x v="1"/>
    <e v="#REF!"/>
  </r>
  <r>
    <x v="300"/>
    <s v="Aug"/>
    <s v="BTCUSD"/>
    <n v="47571.64"/>
    <n v="48181.51"/>
    <n v="46045.86"/>
    <n v="46910.99"/>
    <n v="1112.0899999999999"/>
    <x v="1"/>
    <e v="#REF!"/>
  </r>
  <r>
    <x v="301"/>
    <s v="Dec"/>
    <s v="BTCUSD"/>
    <n v="46312.19"/>
    <n v="47980.93"/>
    <n v="46100"/>
    <n v="47745.99"/>
    <n v="500.98"/>
    <x v="1"/>
    <e v="#REF!"/>
  </r>
  <r>
    <x v="302"/>
    <s v="Dec"/>
    <s v="BTCUSD"/>
    <n v="47745.99"/>
    <n v="48306.22"/>
    <n v="46255"/>
    <n v="46709.08"/>
    <n v="670.52"/>
    <x v="1"/>
    <e v="#REF!"/>
  </r>
  <r>
    <x v="63"/>
    <s v="Aug"/>
    <s v="BTCUSD"/>
    <n v="47931"/>
    <n v="48053.14"/>
    <n v="46287.63"/>
    <n v="46845.94"/>
    <n v="2205"/>
    <x v="1"/>
    <e v="#REF!"/>
  </r>
  <r>
    <x v="205"/>
    <s v="Feb"/>
    <s v="BTCUSD"/>
    <n v="47624.29"/>
    <n v="48246.6"/>
    <n v="46289.93"/>
    <n v="47938.87"/>
    <n v="2413.87"/>
    <x v="1"/>
    <e v="#REF!"/>
  </r>
  <r>
    <x v="303"/>
    <s v="Feb"/>
    <s v="BTCUSD"/>
    <n v="47938.87"/>
    <n v="48027.3"/>
    <n v="46290.25"/>
    <n v="47381.8"/>
    <n v="1252.44"/>
    <x v="1"/>
    <e v="#REF!"/>
  </r>
  <r>
    <x v="235"/>
    <s v="Mar"/>
    <s v="BTCUSD"/>
    <n v="49597.23"/>
    <n v="50754.39"/>
    <n v="46297.47"/>
    <n v="47339.92"/>
    <n v="2507.35"/>
    <x v="1"/>
    <e v="#REF!"/>
  </r>
  <r>
    <x v="304"/>
    <s v="Feb"/>
    <s v="BTCUSD"/>
    <n v="47185.29"/>
    <n v="49600"/>
    <n v="46334.68"/>
    <n v="49587.199999999997"/>
    <n v="1736.03"/>
    <x v="1"/>
    <e v="#REF!"/>
  </r>
  <r>
    <x v="33"/>
    <s v="Dec"/>
    <s v="BTCUSD"/>
    <n v="46968.47"/>
    <n v="48784.28"/>
    <n v="46350"/>
    <n v="48280.5"/>
    <n v="1026.1199999999999"/>
    <x v="1"/>
    <e v="#REF!"/>
  </r>
  <r>
    <x v="233"/>
    <s v="Mar"/>
    <s v="BTCUSD"/>
    <n v="47339.92"/>
    <n v="49455.61"/>
    <n v="46443.16"/>
    <n v="48648.76"/>
    <n v="1774.93"/>
    <x v="1"/>
    <e v="#REF!"/>
  </r>
  <r>
    <x v="0"/>
    <s v="Dec"/>
    <s v="BTCUSD"/>
    <n v="46502.44"/>
    <n v="47949.3"/>
    <n v="46496.19"/>
    <n v="47207.99"/>
    <n v="998.41"/>
    <x v="1"/>
    <e v="#REF!"/>
  </r>
  <r>
    <x v="305"/>
    <s v="May"/>
    <s v="BTCUSD"/>
    <n v="49670.85"/>
    <n v="49900"/>
    <n v="46500"/>
    <n v="48383.6"/>
    <n v="1938.26"/>
    <x v="1"/>
    <e v="#REF!"/>
  </r>
  <r>
    <x v="56"/>
    <s v="Aug"/>
    <s v="BTCUSD"/>
    <n v="47151.91"/>
    <n v="48261.59"/>
    <n v="46524.71"/>
    <n v="47052.84"/>
    <n v="1019.19"/>
    <x v="1"/>
    <e v="#REF!"/>
  </r>
  <r>
    <x v="13"/>
    <s v="Dec"/>
    <s v="BTCUSD"/>
    <n v="48280.5"/>
    <n v="49500"/>
    <n v="46539"/>
    <n v="48838.59"/>
    <n v="1684.17"/>
    <x v="1"/>
    <e v="#REF!"/>
  </r>
  <r>
    <x v="61"/>
    <s v="Aug"/>
    <s v="BTCUSD"/>
    <n v="46845.94"/>
    <n v="49313.26"/>
    <n v="46603.360000000001"/>
    <n v="48900.01"/>
    <n v="1383.21"/>
    <x v="1"/>
    <e v="#REF!"/>
  </r>
  <r>
    <x v="83"/>
    <s v="Aug"/>
    <s v="BTCUSD"/>
    <n v="47042.28"/>
    <n v="49400"/>
    <n v="46714.57"/>
    <n v="48839.62"/>
    <n v="1328.32"/>
    <x v="1"/>
    <e v="#REF!"/>
  </r>
  <r>
    <x v="53"/>
    <s v="Aug"/>
    <s v="BTCUSD"/>
    <n v="47989.58"/>
    <n v="48735.71"/>
    <n v="46717.24"/>
    <n v="47151.91"/>
    <n v="933.28"/>
    <x v="1"/>
    <e v="#REF!"/>
  </r>
  <r>
    <x v="68"/>
    <s v="Sep"/>
    <s v="BTCUSD"/>
    <n v="47101.27"/>
    <n v="48455.16"/>
    <n v="46730.15"/>
    <n v="47629.1"/>
    <n v="1276.6199999999999"/>
    <x v="1"/>
    <e v="#REF!"/>
  </r>
  <r>
    <x v="73"/>
    <s v="Sep"/>
    <s v="BTCUSD"/>
    <n v="47907"/>
    <n v="48165.96"/>
    <n v="46754.93"/>
    <n v="47962.79"/>
    <n v="1247.3800000000001"/>
    <x v="1"/>
    <e v="#REF!"/>
  </r>
  <r>
    <x v="12"/>
    <s v="Dec"/>
    <s v="BTCUSD"/>
    <n v="48405.03"/>
    <n v="49243"/>
    <n v="46759.199999999997"/>
    <n v="48331.11"/>
    <n v="766.72"/>
    <x v="1"/>
    <e v="#REF!"/>
  </r>
  <r>
    <x v="122"/>
    <s v="Oct"/>
    <s v="BTCUSD"/>
    <n v="47509.65"/>
    <n v="49789.33"/>
    <n v="46926.68"/>
    <n v="49320.94"/>
    <n v="1755.41"/>
    <x v="1"/>
    <e v="#REF!"/>
  </r>
  <r>
    <x v="183"/>
    <s v="May"/>
    <s v="BTCUSD"/>
    <n v="50493.11"/>
    <n v="51389.95"/>
    <n v="46962.39"/>
    <n v="49221.07"/>
    <n v="4250.47"/>
    <x v="1"/>
    <e v="#REF!"/>
  </r>
  <r>
    <x v="54"/>
    <s v="Sep"/>
    <s v="BTCUSD"/>
    <n v="47052.84"/>
    <n v="49935.09"/>
    <n v="46980.44"/>
    <n v="49596.74"/>
    <n v="1105.1400000000001"/>
    <x v="1"/>
    <e v="#REF!"/>
  </r>
  <r>
    <x v="306"/>
    <s v="Apr"/>
    <s v="BTCUSD"/>
    <n v="49721.97"/>
    <n v="52567.77"/>
    <n v="47000"/>
    <n v="52435.9"/>
    <n v="2662.93"/>
    <x v="1"/>
    <e v="#REF!"/>
  </r>
  <r>
    <x v="221"/>
    <s v="Feb"/>
    <s v="BTCUSD"/>
    <n v="55914.43"/>
    <n v="56651.47"/>
    <n v="47000"/>
    <n v="51847.25"/>
    <n v="5371.31"/>
    <x v="1"/>
    <e v="#REF!"/>
  </r>
  <r>
    <x v="69"/>
    <s v="Sep"/>
    <s v="BTCUSD"/>
    <n v="47629.1"/>
    <n v="48500"/>
    <n v="47041.24"/>
    <n v="47907"/>
    <n v="1069.57"/>
    <x v="1"/>
    <e v="#REF!"/>
  </r>
  <r>
    <x v="219"/>
    <s v="Mar"/>
    <s v="BTCUSD"/>
    <n v="49023.76"/>
    <n v="49757.22"/>
    <n v="47076.52"/>
    <n v="48749.78"/>
    <n v="1887.71"/>
    <x v="1"/>
    <e v="#REF!"/>
  </r>
  <r>
    <x v="307"/>
    <s v="Mar"/>
    <s v="BTCUSD"/>
    <n v="48648.76"/>
    <n v="49915.73"/>
    <n v="47096.87"/>
    <n v="49610.32"/>
    <n v="1027.29"/>
    <x v="1"/>
    <e v="#REF!"/>
  </r>
  <r>
    <x v="62"/>
    <s v="Aug"/>
    <s v="BTCUSD"/>
    <n v="47995.78"/>
    <n v="49365.42"/>
    <n v="47112.12"/>
    <n v="47931"/>
    <n v="1666.41"/>
    <x v="1"/>
    <e v="#REF!"/>
  </r>
  <r>
    <x v="308"/>
    <s v="Oct"/>
    <s v="BTCUSD"/>
    <n v="47555.51"/>
    <n v="48346.7"/>
    <n v="47144"/>
    <n v="47899.79"/>
    <n v="761.86"/>
    <x v="1"/>
    <e v="#REF!"/>
  </r>
  <r>
    <x v="39"/>
    <s v="Dec"/>
    <s v="BTCUSD"/>
    <n v="49103.01"/>
    <n v="51481.04"/>
    <n v="47165.65"/>
    <n v="51012.43"/>
    <n v="2139.33"/>
    <x v="1"/>
    <e v="#REF!"/>
  </r>
  <r>
    <x v="163"/>
    <s v="Apr"/>
    <s v="BTCUSD"/>
    <n v="50329.66"/>
    <n v="51380.03"/>
    <n v="47231"/>
    <n v="50195.42"/>
    <n v="3250.51"/>
    <x v="1"/>
    <e v="#REF!"/>
  </r>
  <r>
    <x v="1"/>
    <s v="Dec"/>
    <s v="BTCUSD"/>
    <n v="49821.79"/>
    <n v="49834.68"/>
    <n v="47322.97"/>
    <n v="48017.93"/>
    <n v="1275.01"/>
    <x v="1"/>
    <e v="#REF!"/>
  </r>
  <r>
    <x v="23"/>
    <s v="Dec"/>
    <s v="BTCUSD"/>
    <n v="49567.4"/>
    <n v="50362.35"/>
    <n v="47335.199999999997"/>
    <n v="48405.03"/>
    <n v="1686.8"/>
    <x v="1"/>
    <e v="#REF!"/>
  </r>
  <r>
    <x v="309"/>
    <s v="Oct"/>
    <s v="BTCUSD"/>
    <n v="47899.79"/>
    <n v="49259.3"/>
    <n v="47372.35"/>
    <n v="47509.65"/>
    <n v="864.8"/>
    <x v="1"/>
    <e v="#REF!"/>
  </r>
  <r>
    <x v="7"/>
    <s v="Dec"/>
    <s v="BTCUSD"/>
    <n v="48838.59"/>
    <n v="49466.29"/>
    <n v="47438.15"/>
    <n v="47779.8"/>
    <n v="881.67"/>
    <x v="1"/>
    <e v="#REF!"/>
  </r>
  <r>
    <x v="310"/>
    <s v="Sep"/>
    <s v="BTCUSD"/>
    <n v="47962.79"/>
    <n v="48808.97"/>
    <n v="47613.93"/>
    <n v="47854.23"/>
    <n v="671.36"/>
    <x v="1"/>
    <e v="#REF!"/>
  </r>
  <r>
    <x v="65"/>
    <s v="Aug"/>
    <s v="BTCUSD"/>
    <n v="49350"/>
    <n v="49867.71"/>
    <n v="47614.3"/>
    <n v="47995.78"/>
    <n v="1369.87"/>
    <x v="1"/>
    <e v="#REF!"/>
  </r>
  <r>
    <x v="311"/>
    <s v="Aug"/>
    <s v="BTCUSD"/>
    <n v="48267.19"/>
    <n v="49408.07"/>
    <n v="47800"/>
    <n v="47989.58"/>
    <n v="446.77"/>
    <x v="1"/>
    <e v="#REF!"/>
  </r>
  <r>
    <x v="201"/>
    <s v="Feb"/>
    <s v="BTCUSD"/>
    <n v="49587.199999999997"/>
    <n v="50602.34"/>
    <n v="47818.86"/>
    <n v="49649.93"/>
    <n v="2776.27"/>
    <x v="1"/>
    <e v="#REF!"/>
  </r>
  <r>
    <x v="312"/>
    <s v="Dec"/>
    <s v="BTCUSD"/>
    <n v="48331.11"/>
    <n v="49699.99"/>
    <n v="47819.28"/>
    <n v="49333.66"/>
    <n v="623.86"/>
    <x v="1"/>
    <e v="#REF!"/>
  </r>
  <r>
    <x v="313"/>
    <s v="Dec"/>
    <s v="BTCUSD"/>
    <n v="49249.56"/>
    <n v="49786.95"/>
    <n v="47844.03"/>
    <n v="49103.01"/>
    <n v="3697.03"/>
    <x v="1"/>
    <e v="#REF!"/>
  </r>
  <r>
    <x v="35"/>
    <s v="Dec"/>
    <s v="BTCUSD"/>
    <n v="47954.559999999998"/>
    <n v="49598.11"/>
    <n v="47948.07"/>
    <n v="49263.44"/>
    <n v="1235.8900000000001"/>
    <x v="1"/>
    <e v="#REF!"/>
  </r>
  <r>
    <x v="21"/>
    <s v="Dec"/>
    <s v="BTCUSD"/>
    <n v="49263.44"/>
    <n v="49548.86"/>
    <n v="48063.360000000001"/>
    <n v="48545.38"/>
    <n v="726.8"/>
    <x v="1"/>
    <e v="#REF!"/>
  </r>
  <r>
    <x v="314"/>
    <s v="Aug"/>
    <s v="BTCUSD"/>
    <n v="48837.62"/>
    <n v="50540.19"/>
    <n v="48071.03"/>
    <n v="50289.05"/>
    <n v="974.81"/>
    <x v="1"/>
    <e v="#REF!"/>
  </r>
  <r>
    <x v="6"/>
    <s v="Dec"/>
    <s v="BTCUSD"/>
    <n v="48545.38"/>
    <n v="51533.71"/>
    <n v="48072.35"/>
    <n v="51067.839999999997"/>
    <n v="1001.26"/>
    <x v="1"/>
    <e v="#REF!"/>
  </r>
  <r>
    <x v="315"/>
    <s v="Aug"/>
    <s v="BTCUSD"/>
    <n v="48900.01"/>
    <n v="49650"/>
    <n v="48107.99"/>
    <n v="48267.19"/>
    <n v="544.26"/>
    <x v="1"/>
    <e v="#REF!"/>
  </r>
  <r>
    <x v="210"/>
    <s v="Feb"/>
    <s v="BTCUSD"/>
    <n v="50965.74"/>
    <n v="51442.01"/>
    <n v="48113.83"/>
    <n v="50266.89"/>
    <n v="2798.46"/>
    <x v="1"/>
    <e v="#REF!"/>
  </r>
  <r>
    <x v="316"/>
    <s v="Aug"/>
    <s v="BTCUSD"/>
    <n v="48839.62"/>
    <n v="49812.54"/>
    <n v="48281.42"/>
    <n v="48837.62"/>
    <n v="1213.1099999999999"/>
    <x v="1"/>
    <e v="#REF!"/>
  </r>
  <r>
    <x v="50"/>
    <s v="Sep"/>
    <s v="BTCUSD"/>
    <n v="49596.74"/>
    <n v="50412"/>
    <n v="48358.879999999997"/>
    <n v="49485"/>
    <n v="885.44"/>
    <x v="1"/>
    <e v="#REF!"/>
  </r>
  <r>
    <x v="317"/>
    <s v="Dec"/>
    <s v="BTCUSD"/>
    <n v="49333.66"/>
    <n v="50808.480000000003"/>
    <n v="48490.81"/>
    <n v="48899.75"/>
    <n v="779.55"/>
    <x v="1"/>
    <e v="#REF!"/>
  </r>
  <r>
    <x v="170"/>
    <s v="Apr"/>
    <s v="BTCUSD"/>
    <n v="53508.08"/>
    <n v="55499.99"/>
    <n v="48565.58"/>
    <n v="50329.66"/>
    <n v="4415.7"/>
    <x v="1"/>
    <e v="#REF!"/>
  </r>
  <r>
    <x v="17"/>
    <s v="Dec"/>
    <s v="BTCUSD"/>
    <n v="50162.48"/>
    <n v="51269.82"/>
    <n v="48669.68"/>
    <n v="49567.4"/>
    <n v="1215.5999999999999"/>
    <x v="1"/>
    <e v="#REF!"/>
  </r>
  <r>
    <x v="225"/>
    <s v="Mar"/>
    <s v="BTCUSD"/>
    <n v="48749.78"/>
    <n v="52737.2"/>
    <n v="48697.279999999999"/>
    <n v="49597.23"/>
    <n v="2756.27"/>
    <x v="1"/>
    <e v="#REF!"/>
  </r>
  <r>
    <x v="318"/>
    <s v="Apr"/>
    <s v="BTCUSD"/>
    <n v="50195.42"/>
    <n v="51150.01"/>
    <n v="48755.01"/>
    <n v="49721.97"/>
    <n v="943.26"/>
    <x v="1"/>
    <e v="#REF!"/>
  </r>
  <r>
    <x v="66"/>
    <s v="Aug"/>
    <s v="BTCUSD"/>
    <n v="50289.05"/>
    <n v="50517.99"/>
    <n v="48800"/>
    <n v="49350"/>
    <n v="1051.6600000000001"/>
    <x v="1"/>
    <e v="#REF!"/>
  </r>
  <r>
    <x v="168"/>
    <s v="May"/>
    <s v="BTCUSD"/>
    <n v="49221.07"/>
    <n v="51575.16"/>
    <n v="48894.79"/>
    <n v="49670.85"/>
    <n v="2001.31"/>
    <x v="1"/>
    <e v="#REF!"/>
  </r>
  <r>
    <x v="116"/>
    <s v="Oct"/>
    <s v="BTCUSD"/>
    <n v="49320.94"/>
    <n v="51927.83"/>
    <n v="49108.3"/>
    <n v="51561.599999999999"/>
    <n v="1691.52"/>
    <x v="1"/>
    <e v="#REF!"/>
  </r>
  <r>
    <x v="319"/>
    <s v="Mar"/>
    <s v="BTCUSD"/>
    <n v="49610.32"/>
    <n v="51832.15"/>
    <n v="49135.73"/>
    <n v="50591.21"/>
    <n v="1157.04"/>
    <x v="1"/>
    <e v="#REF!"/>
  </r>
  <r>
    <x v="206"/>
    <s v="Feb"/>
    <s v="BTCUSD"/>
    <n v="49649.93"/>
    <n v="52668.45"/>
    <n v="49164.23"/>
    <n v="52068.01"/>
    <n v="2858.2"/>
    <x v="1"/>
    <e v="#REF!"/>
  </r>
  <r>
    <x v="51"/>
    <s v="Sep"/>
    <s v="BTCUSD"/>
    <n v="49485"/>
    <n v="51046.11"/>
    <n v="49241.34"/>
    <n v="50292.02"/>
    <n v="1114.4000000000001"/>
    <x v="1"/>
    <e v="#REF!"/>
  </r>
  <r>
    <x v="224"/>
    <s v="Mar"/>
    <s v="BTCUSD"/>
    <n v="50591.21"/>
    <n v="54126"/>
    <n v="49300.01"/>
    <n v="53931.34"/>
    <n v="1880.72"/>
    <x v="1"/>
    <e v="#REF!"/>
  </r>
  <r>
    <x v="320"/>
    <s v="Sep"/>
    <s v="BTCUSD"/>
    <n v="50292.02"/>
    <n v="50545.41"/>
    <n v="49414.36"/>
    <n v="49692.22"/>
    <n v="1167.1500000000001"/>
    <x v="1"/>
    <e v="#REF!"/>
  </r>
  <r>
    <x v="321"/>
    <s v="Dec"/>
    <s v="BTCUSD"/>
    <n v="49705.21"/>
    <n v="51294.26"/>
    <n v="49460.66"/>
    <n v="51036.12"/>
    <n v="489.24"/>
    <x v="1"/>
    <e v="#REF!"/>
  </r>
  <r>
    <x v="322"/>
    <s v="Sep"/>
    <s v="BTCUSD"/>
    <n v="49692.22"/>
    <n v="51962.68"/>
    <n v="49505.43"/>
    <n v="51638.18"/>
    <n v="1231.1400000000001"/>
    <x v="1"/>
    <e v="#REF!"/>
  </r>
  <r>
    <x v="3"/>
    <s v="Dec"/>
    <s v="BTCUSD"/>
    <n v="51036.12"/>
    <n v="52104.93"/>
    <n v="49509.47"/>
    <n v="49821.79"/>
    <n v="896.04"/>
    <x v="1"/>
    <e v="#REF!"/>
  </r>
  <r>
    <x v="323"/>
    <s v="Dec"/>
    <s v="BTCUSD"/>
    <n v="50872.31"/>
    <n v="51156.95"/>
    <n v="49656.65"/>
    <n v="49705.21"/>
    <n v="400.67"/>
    <x v="1"/>
    <e v="#REF!"/>
  </r>
  <r>
    <x v="24"/>
    <s v="Dec"/>
    <s v="BTCUSD"/>
    <n v="51012.43"/>
    <n v="51982.66"/>
    <n v="50086"/>
    <n v="50162.48"/>
    <n v="1220.79"/>
    <x v="1"/>
    <e v="#REF!"/>
  </r>
  <r>
    <x v="214"/>
    <s v="Mar"/>
    <s v="BTCUSD"/>
    <n v="52152.85"/>
    <n v="53234.52"/>
    <n v="50387.01"/>
    <n v="52450.8"/>
    <n v="1736.99"/>
    <x v="1"/>
    <e v="#REF!"/>
  </r>
  <r>
    <x v="118"/>
    <s v="Oct"/>
    <s v="BTCUSD"/>
    <n v="51561.599999999999"/>
    <n v="55800"/>
    <n v="50410"/>
    <n v="54838.9"/>
    <n v="3288.23"/>
    <x v="1"/>
    <e v="#REF!"/>
  </r>
  <r>
    <x v="324"/>
    <s v="Dec"/>
    <s v="BTCUSD"/>
    <n v="51067.839999999997"/>
    <n v="51866.86"/>
    <n v="50461.08"/>
    <n v="50872.31"/>
    <n v="558.12"/>
    <x v="1"/>
    <e v="#REF!"/>
  </r>
  <r>
    <x v="213"/>
    <s v="Feb"/>
    <s v="BTCUSD"/>
    <n v="52068.01"/>
    <n v="52344"/>
    <n v="50500"/>
    <n v="51241.23"/>
    <n v="2002.6"/>
    <x v="1"/>
    <e v="#REF!"/>
  </r>
  <r>
    <x v="325"/>
    <s v="Apr"/>
    <s v="BTCUSD"/>
    <n v="62450"/>
    <n v="62545.78"/>
    <n v="50622.32"/>
    <n v="55992.97"/>
    <n v="2586.09"/>
    <x v="1"/>
    <e v="#REF!"/>
  </r>
  <r>
    <x v="208"/>
    <s v="Feb"/>
    <s v="BTCUSD"/>
    <n v="51241.23"/>
    <n v="56605.599999999999"/>
    <n v="50906"/>
    <n v="55761.1"/>
    <n v="3143.93"/>
    <x v="1"/>
    <e v="#REF!"/>
  </r>
  <r>
    <x v="326"/>
    <s v="Sep"/>
    <s v="BTCUSD"/>
    <n v="51638.18"/>
    <n v="52938.78"/>
    <n v="51003.37"/>
    <n v="52663.45"/>
    <n v="1408.74"/>
    <x v="1"/>
    <e v="#REF!"/>
  </r>
  <r>
    <x v="204"/>
    <s v="Mar"/>
    <s v="BTCUSD"/>
    <n v="54375.12"/>
    <n v="57245"/>
    <n v="51533.89"/>
    <n v="52152.85"/>
    <n v="2556.02"/>
    <x v="1"/>
    <e v="#REF!"/>
  </r>
  <r>
    <x v="41"/>
    <s v="Dec"/>
    <s v="BTCUSD"/>
    <n v="56380.25"/>
    <n v="57673.58"/>
    <n v="51619.3"/>
    <n v="52055.9"/>
    <n v="1784.77"/>
    <x v="1"/>
    <e v="#REF!"/>
  </r>
  <r>
    <x v="162"/>
    <s v="Apr"/>
    <s v="BTCUSD"/>
    <n v="52435.9"/>
    <n v="54419.57"/>
    <n v="52096.87"/>
    <n v="53531.94"/>
    <n v="1804.88"/>
    <x v="1"/>
    <e v="#REF!"/>
  </r>
  <r>
    <x v="195"/>
    <s v="Mar"/>
    <s v="BTCUSD"/>
    <n v="52450.8"/>
    <n v="55627.21"/>
    <n v="52205.36"/>
    <n v="54804.02"/>
    <n v="1655.31"/>
    <x v="1"/>
    <e v="#REF!"/>
  </r>
  <r>
    <x v="149"/>
    <s v="Apr"/>
    <s v="BTCUSD"/>
    <n v="54312.41"/>
    <n v="54755.360000000001"/>
    <n v="52389.42"/>
    <n v="53750.01"/>
    <n v="1561.01"/>
    <x v="1"/>
    <e v="#REF!"/>
  </r>
  <r>
    <x v="172"/>
    <s v="Apr"/>
    <s v="BTCUSD"/>
    <n v="55255.57"/>
    <n v="56373"/>
    <n v="52600"/>
    <n v="53508.08"/>
    <n v="2243.11"/>
    <x v="1"/>
    <e v="#REF!"/>
  </r>
  <r>
    <x v="171"/>
    <s v="May"/>
    <s v="BTCUSD"/>
    <n v="55511.37"/>
    <n v="56659.5"/>
    <n v="52947.09"/>
    <n v="54832.2"/>
    <n v="2880.08"/>
    <x v="1"/>
    <e v="#REF!"/>
  </r>
  <r>
    <x v="202"/>
    <s v="Mar"/>
    <s v="BTCUSD"/>
    <n v="54710.81"/>
    <n v="55903.62"/>
    <n v="53000"/>
    <n v="54375.12"/>
    <n v="1916.14"/>
    <x v="1"/>
    <e v="#REF!"/>
  </r>
  <r>
    <x v="216"/>
    <s v="Mar"/>
    <s v="BTCUSD"/>
    <n v="53466.19"/>
    <n v="57400"/>
    <n v="53049"/>
    <n v="55971.68"/>
    <n v="2062.29"/>
    <x v="1"/>
    <e v="#REF!"/>
  </r>
  <r>
    <x v="220"/>
    <s v="Mar"/>
    <s v="BTCUSD"/>
    <n v="53931.34"/>
    <n v="55847.68"/>
    <n v="53140.76"/>
    <n v="53466.19"/>
    <n v="1933.15"/>
    <x v="1"/>
    <e v="#REF!"/>
  </r>
  <r>
    <x v="167"/>
    <s v="May"/>
    <s v="BTCUSD"/>
    <n v="54832.2"/>
    <n v="57974.07"/>
    <n v="53158.68"/>
    <n v="56900.44"/>
    <n v="2430.66"/>
    <x v="1"/>
    <e v="#REF!"/>
  </r>
  <r>
    <x v="327"/>
    <s v="Apr"/>
    <s v="BTCUSD"/>
    <n v="55992.97"/>
    <n v="57404.04"/>
    <n v="53176.36"/>
    <n v="57175.61"/>
    <n v="3720.3"/>
    <x v="1"/>
    <e v="#REF!"/>
  </r>
  <r>
    <x v="196"/>
    <s v="Mar"/>
    <s v="BTCUSD"/>
    <n v="60362.18"/>
    <n v="60561.59"/>
    <n v="53238.69"/>
    <n v="54255.040000000001"/>
    <n v="3453.09"/>
    <x v="1"/>
    <e v="#REF!"/>
  </r>
  <r>
    <x v="328"/>
    <s v="Nov"/>
    <s v="BTCUSD"/>
    <n v="54161.85"/>
    <n v="58265.2"/>
    <n v="53333.33"/>
    <n v="57400.61"/>
    <n v="790.75"/>
    <x v="1"/>
    <e v="#REF!"/>
  </r>
  <r>
    <x v="164"/>
    <s v="Apr"/>
    <s v="BTCUSD"/>
    <n v="53531.94"/>
    <n v="55800"/>
    <n v="53345.62"/>
    <n v="54883.25"/>
    <n v="1508.58"/>
    <x v="1"/>
    <e v="#REF!"/>
  </r>
  <r>
    <x v="87"/>
    <s v="Oct"/>
    <s v="BTCUSD"/>
    <n v="54838.9"/>
    <n v="55231.53"/>
    <n v="53366"/>
    <n v="53826.69"/>
    <n v="1338.83"/>
    <x v="1"/>
    <e v="#REF!"/>
  </r>
  <r>
    <x v="178"/>
    <s v="Apr"/>
    <s v="BTCUSD"/>
    <n v="54586.65"/>
    <n v="57145.34"/>
    <n v="53416.76"/>
    <n v="55255.57"/>
    <n v="2353.91"/>
    <x v="1"/>
    <e v="#REF!"/>
  </r>
  <r>
    <x v="143"/>
    <s v="May"/>
    <s v="BTCUSD"/>
    <n v="59407.78"/>
    <n v="59584.99"/>
    <n v="53434.31"/>
    <n v="55194.75"/>
    <n v="2583.42"/>
    <x v="1"/>
    <e v="#REF!"/>
  </r>
  <r>
    <x v="30"/>
    <s v="Nov"/>
    <s v="BTCUSD"/>
    <n v="57952.35"/>
    <n v="58043.76"/>
    <n v="53529"/>
    <n v="54409.03"/>
    <n v="2804.1"/>
    <x v="1"/>
    <e v="#REF!"/>
  </r>
  <r>
    <x v="194"/>
    <s v="Mar"/>
    <s v="BTCUSD"/>
    <n v="54255.040000000001"/>
    <n v="57185.78"/>
    <n v="53589"/>
    <n v="55548.73"/>
    <n v="1350.97"/>
    <x v="1"/>
    <e v="#REF!"/>
  </r>
  <r>
    <x v="169"/>
    <s v="Apr"/>
    <s v="BTCUSD"/>
    <n v="57175.61"/>
    <n v="57624.66"/>
    <n v="53606.41"/>
    <n v="54586.65"/>
    <n v="2832.89"/>
    <x v="1"/>
    <e v="#REF!"/>
  </r>
  <r>
    <x v="102"/>
    <s v="Oct"/>
    <s v="BTCUSD"/>
    <n v="53826.69"/>
    <n v="56150.58"/>
    <n v="53655"/>
    <n v="54588"/>
    <n v="1485.78"/>
    <x v="1"/>
    <e v="#REF!"/>
  </r>
  <r>
    <x v="200"/>
    <s v="Mar"/>
    <s v="BTCUSD"/>
    <n v="57551.47"/>
    <n v="58445.36"/>
    <n v="53733.67"/>
    <n v="54710.81"/>
    <n v="1771.2"/>
    <x v="1"/>
    <e v="#REF!"/>
  </r>
  <r>
    <x v="329"/>
    <s v="Nov"/>
    <s v="BTCUSD"/>
    <n v="54409.03"/>
    <n v="55320.800000000003"/>
    <n v="53739.8"/>
    <n v="54161.85"/>
    <n v="556.51"/>
    <x v="1"/>
    <e v="#REF!"/>
  </r>
  <r>
    <x v="161"/>
    <s v="Apr"/>
    <s v="BTCUSD"/>
    <n v="53750.01"/>
    <n v="58553.71"/>
    <n v="53750.01"/>
    <n v="58272.25"/>
    <n v="1869.51"/>
    <x v="1"/>
    <e v="#REF!"/>
  </r>
  <r>
    <x v="15"/>
    <s v="Nov"/>
    <s v="BTCUSD"/>
    <n v="59885.21"/>
    <n v="60106.3"/>
    <n v="53760"/>
    <n v="55911.16"/>
    <n v="3999.42"/>
    <x v="1"/>
    <e v="#REF!"/>
  </r>
  <r>
    <x v="160"/>
    <s v="Apr"/>
    <s v="BTCUSD"/>
    <n v="54883.25"/>
    <n v="56474.720000000001"/>
    <n v="53861.120000000003"/>
    <n v="54312.41"/>
    <n v="1628.45"/>
    <x v="1"/>
    <e v="#REF!"/>
  </r>
  <r>
    <x v="112"/>
    <s v="Oct"/>
    <s v="BTCUSD"/>
    <n v="56710"/>
    <n v="57688.88"/>
    <n v="53911.79"/>
    <n v="56289.06"/>
    <n v="1713.92"/>
    <x v="1"/>
    <e v="#REF!"/>
  </r>
  <r>
    <x v="330"/>
    <s v="Mar"/>
    <s v="BTCUSD"/>
    <n v="54804.02"/>
    <n v="56624.33"/>
    <n v="53990"/>
    <n v="56094.03"/>
    <n v="730.37"/>
    <x v="1"/>
    <e v="#REF!"/>
  </r>
  <r>
    <x v="331"/>
    <s v="Feb"/>
    <s v="BTCUSD"/>
    <n v="55761.1"/>
    <n v="57500"/>
    <n v="54000"/>
    <n v="56541.2"/>
    <n v="1349.19"/>
    <x v="1"/>
    <e v="#REF!"/>
  </r>
  <r>
    <x v="332"/>
    <s v="Oct"/>
    <s v="BTCUSD"/>
    <n v="54588"/>
    <n v="55486.87"/>
    <n v="54115.27"/>
    <n v="55043.76"/>
    <n v="707.72"/>
    <x v="1"/>
    <e v="#REF!"/>
  </r>
  <r>
    <x v="192"/>
    <s v="Mar"/>
    <s v="BTCUSD"/>
    <n v="55548.73"/>
    <n v="59567.59"/>
    <n v="54144.95"/>
    <n v="58687.360000000001"/>
    <n v="1950.94"/>
    <x v="1"/>
    <e v="#REF!"/>
  </r>
  <r>
    <x v="113"/>
    <s v="Oct"/>
    <s v="BTCUSD"/>
    <n v="56289.06"/>
    <n v="58500.02"/>
    <n v="54250"/>
    <n v="58073.82"/>
    <n v="1574.7"/>
    <x v="1"/>
    <e v="#REF!"/>
  </r>
  <r>
    <x v="199"/>
    <s v="Mar"/>
    <s v="BTCUSD"/>
    <n v="55971.68"/>
    <n v="58120"/>
    <n v="54281.74"/>
    <n v="57111.63"/>
    <n v="1776.09"/>
    <x v="1"/>
    <e v="#REF!"/>
  </r>
  <r>
    <x v="333"/>
    <s v="Oct"/>
    <s v="BTCUSD"/>
    <n v="55043.76"/>
    <n v="56759.01"/>
    <n v="54376.52"/>
    <n v="56520.58"/>
    <n v="1166.24"/>
    <x v="1"/>
    <e v="#REF!"/>
  </r>
  <r>
    <x v="155"/>
    <s v="May"/>
    <s v="BTCUSD"/>
    <n v="57970.74"/>
    <n v="58988.52"/>
    <n v="54654.65"/>
    <n v="55511.37"/>
    <n v="2363.15"/>
    <x v="1"/>
    <e v="#REF!"/>
  </r>
  <r>
    <x v="177"/>
    <s v="May"/>
    <s v="BTCUSD"/>
    <n v="55194.75"/>
    <n v="57898"/>
    <n v="54684"/>
    <n v="57820"/>
    <n v="1432.56"/>
    <x v="1"/>
    <e v="#REF!"/>
  </r>
  <r>
    <x v="334"/>
    <s v="Mar"/>
    <s v="BTCUSD"/>
    <n v="56094.03"/>
    <n v="56576.23"/>
    <n v="54711.01"/>
    <n v="55351"/>
    <n v="453.44"/>
    <x v="1"/>
    <e v="#REF!"/>
  </r>
  <r>
    <x v="193"/>
    <s v="Mar"/>
    <s v="BTCUSD"/>
    <n v="55351"/>
    <n v="58430.77"/>
    <n v="54889.09"/>
    <n v="57155.81"/>
    <n v="2020.26"/>
    <x v="1"/>
    <e v="#REF!"/>
  </r>
  <r>
    <x v="203"/>
    <s v="Mar"/>
    <s v="BTCUSD"/>
    <n v="57111.63"/>
    <n v="57959.22"/>
    <n v="55050"/>
    <n v="56705.84"/>
    <n v="1595.58"/>
    <x v="1"/>
    <e v="#REF!"/>
  </r>
  <r>
    <x v="158"/>
    <s v="May"/>
    <s v="BTCUSD"/>
    <n v="56900.44"/>
    <n v="58465.93"/>
    <n v="55200"/>
    <n v="55762.28"/>
    <n v="1494.9"/>
    <x v="1"/>
    <e v="#REF!"/>
  </r>
  <r>
    <x v="140"/>
    <s v="May"/>
    <s v="BTCUSD"/>
    <n v="55762.28"/>
    <n v="58750"/>
    <n v="55292.22"/>
    <n v="58187.76"/>
    <n v="1591.2"/>
    <x v="1"/>
    <e v="#REF!"/>
  </r>
  <r>
    <x v="20"/>
    <s v="Nov"/>
    <s v="BTCUSD"/>
    <n v="56975.38"/>
    <n v="57882.26"/>
    <n v="55384"/>
    <n v="56423.5"/>
    <n v="1584.78"/>
    <x v="1"/>
    <e v="#REF!"/>
  </r>
  <r>
    <x v="189"/>
    <s v="Apr"/>
    <s v="BTCUSD"/>
    <n v="57934.16"/>
    <n v="58675.79"/>
    <n v="55450"/>
    <n v="56559.59"/>
    <n v="1994.91"/>
    <x v="1"/>
    <e v="#REF!"/>
  </r>
  <r>
    <x v="335"/>
    <s v="Mar"/>
    <s v="BTCUSD"/>
    <n v="57833.32"/>
    <n v="58164.58"/>
    <n v="55500"/>
    <n v="57551.47"/>
    <n v="781.35"/>
    <x v="1"/>
    <e v="#REF!"/>
  </r>
  <r>
    <x v="5"/>
    <s v="Nov"/>
    <s v="BTCUSD"/>
    <n v="57440.38"/>
    <n v="59581.52"/>
    <n v="55648.53"/>
    <n v="56975.38"/>
    <n v="1430.31"/>
    <x v="1"/>
    <e v="#REF!"/>
  </r>
  <r>
    <x v="336"/>
    <s v="Feb"/>
    <s v="BTCUSD"/>
    <n v="56541.2"/>
    <n v="58481.599999999999"/>
    <n v="55800"/>
    <n v="55914.43"/>
    <n v="1454.9"/>
    <x v="1"/>
    <e v="#REF!"/>
  </r>
  <r>
    <x v="98"/>
    <s v="Oct"/>
    <s v="BTCUSD"/>
    <n v="56520.58"/>
    <n v="58000"/>
    <n v="55838.77"/>
    <n v="56710"/>
    <n v="1027.9100000000001"/>
    <x v="1"/>
    <e v="#REF!"/>
  </r>
  <r>
    <x v="9"/>
    <s v="Nov"/>
    <s v="BTCUSD"/>
    <n v="55911.16"/>
    <n v="59042"/>
    <n v="55856.95"/>
    <n v="58596.83"/>
    <n v="1483.12"/>
    <x v="1"/>
    <e v="#REF!"/>
  </r>
  <r>
    <x v="34"/>
    <s v="Dec"/>
    <s v="BTCUSD"/>
    <n v="57404.47"/>
    <n v="59105.91"/>
    <n v="55860.02"/>
    <n v="56362.19"/>
    <n v="1420.43"/>
    <x v="1"/>
    <e v="#REF!"/>
  </r>
  <r>
    <x v="18"/>
    <s v="Nov"/>
    <s v="BTCUSD"/>
    <n v="56423.5"/>
    <n v="58276.58"/>
    <n v="55899"/>
    <n v="57756.25"/>
    <n v="1105.1600000000001"/>
    <x v="1"/>
    <e v="#REF!"/>
  </r>
  <r>
    <x v="36"/>
    <s v="Nov"/>
    <s v="BTCUSD"/>
    <n v="57163.87"/>
    <n v="59226.98"/>
    <n v="55930.25"/>
    <n v="57404.47"/>
    <n v="1487.28"/>
    <x v="1"/>
    <e v="#REF!"/>
  </r>
  <r>
    <x v="44"/>
    <s v="Dec"/>
    <s v="BTCUSD"/>
    <n v="56362.19"/>
    <n v="57277.919999999998"/>
    <n v="56000"/>
    <n v="56380.25"/>
    <n v="1140.49"/>
    <x v="1"/>
    <e v="#REF!"/>
  </r>
  <r>
    <x v="337"/>
    <s v="May"/>
    <s v="BTCUSD"/>
    <n v="56547.4"/>
    <n v="58293.35"/>
    <n v="56104.4"/>
    <n v="57970.74"/>
    <n v="653.63"/>
    <x v="1"/>
    <e v="#REF!"/>
  </r>
  <r>
    <x v="197"/>
    <s v="Mar"/>
    <s v="BTCUSD"/>
    <n v="58687.360000000001"/>
    <n v="60099.99"/>
    <n v="56239.55"/>
    <n v="57793.71"/>
    <n v="1594.38"/>
    <x v="1"/>
    <e v="#REF!"/>
  </r>
  <r>
    <x v="338"/>
    <s v="May"/>
    <s v="BTCUSD"/>
    <n v="58545.16"/>
    <n v="59481.34"/>
    <n v="56275.13"/>
    <n v="59407.78"/>
    <n v="1710.38"/>
    <x v="1"/>
    <e v="#REF!"/>
  </r>
  <r>
    <x v="339"/>
    <s v="Mar"/>
    <s v="BTCUSD"/>
    <n v="56705.84"/>
    <n v="61785"/>
    <n v="56284.51"/>
    <n v="61354.75"/>
    <n v="2135.31"/>
    <x v="1"/>
    <e v="#REF!"/>
  </r>
  <r>
    <x v="186"/>
    <s v="Apr"/>
    <s v="BTCUSD"/>
    <n v="56559.59"/>
    <n v="58400"/>
    <n v="56370.7"/>
    <n v="58014.19"/>
    <n v="762.92"/>
    <x v="1"/>
    <e v="#REF!"/>
  </r>
  <r>
    <x v="340"/>
    <s v="May"/>
    <s v="BTCUSD"/>
    <n v="58272.25"/>
    <m/>
    <n v="56408.62"/>
    <n v="56547.4"/>
    <n v="538.94000000000005"/>
    <x v="1"/>
    <e v="#REF!"/>
  </r>
  <r>
    <x v="341"/>
    <s v="Apr"/>
    <s v="BTCUSD"/>
    <n v="59251.040000000001"/>
    <n v="59851.519999999997"/>
    <n v="56500"/>
    <n v="57557.71"/>
    <n v="834.45"/>
    <x v="1"/>
    <e v="#REF!"/>
  </r>
  <r>
    <x v="28"/>
    <s v="Nov"/>
    <s v="BTCUSD"/>
    <n v="57400.61"/>
    <n v="58903.31"/>
    <n v="56734.49"/>
    <n v="57163.87"/>
    <n v="1057.04"/>
    <x v="1"/>
    <e v="#REF!"/>
  </r>
  <r>
    <x v="85"/>
    <s v="Oct"/>
    <s v="BTCUSD"/>
    <n v="58073.82"/>
    <n v="59450"/>
    <n v="56807.96"/>
    <n v="59407.55"/>
    <n v="1166.8900000000001"/>
    <x v="1"/>
    <e v="#REF!"/>
  </r>
  <r>
    <x v="188"/>
    <s v="Apr"/>
    <s v="BTCUSD"/>
    <n v="57479.64"/>
    <n v="59468.95"/>
    <n v="56810.28"/>
    <n v="58638.14"/>
    <n v="845.18"/>
    <x v="1"/>
    <e v="#REF!"/>
  </r>
  <r>
    <x v="191"/>
    <s v="Mar"/>
    <s v="BTCUSD"/>
    <n v="58621.67"/>
    <n v="59800"/>
    <n v="56880"/>
    <n v="59143.58"/>
    <n v="1679.55"/>
    <x v="1"/>
    <e v="#REF!"/>
  </r>
  <r>
    <x v="198"/>
    <s v="Mar"/>
    <s v="BTCUSD"/>
    <n v="57155.81"/>
    <n v="59385"/>
    <n v="57024.4"/>
    <n v="58621.67"/>
    <n v="933.97"/>
    <x v="1"/>
    <e v="#REF!"/>
  </r>
  <r>
    <x v="342"/>
    <s v="Apr"/>
    <s v="BTCUSD"/>
    <n v="57557.71"/>
    <n v="58500.94"/>
    <n v="57042.53"/>
    <n v="57479.64"/>
    <n v="288.3"/>
    <x v="1"/>
    <e v="#REF!"/>
  </r>
  <r>
    <x v="343"/>
    <s v="Nov"/>
    <s v="BTCUSD"/>
    <n v="58741.06"/>
    <n v="60061.89"/>
    <n v="57049.07"/>
    <n v="57440.38"/>
    <n v="649.59"/>
    <x v="1"/>
    <e v="#REF!"/>
  </r>
  <r>
    <x v="344"/>
    <s v="Nov"/>
    <s v="BTCUSD"/>
    <n v="57756.25"/>
    <n v="59476.65"/>
    <n v="57051.76"/>
    <n v="57952.35"/>
    <n v="628.99"/>
    <x v="1"/>
    <e v="#REF!"/>
  </r>
  <r>
    <x v="187"/>
    <s v="Apr"/>
    <s v="BTCUSD"/>
    <n v="58638.14"/>
    <n v="59028.19"/>
    <n v="57255"/>
    <n v="57934.16"/>
    <n v="1173.72"/>
    <x v="1"/>
    <e v="#REF!"/>
  </r>
  <r>
    <x v="345"/>
    <s v="Nov"/>
    <s v="BTCUSD"/>
    <n v="58596.83"/>
    <n v="59886.11"/>
    <n v="57442"/>
    <n v="58741.06"/>
    <n v="777.79"/>
    <x v="1"/>
    <e v="#REF!"/>
  </r>
  <r>
    <x v="346"/>
    <s v="Mar"/>
    <s v="BTCUSD"/>
    <n v="58428.9"/>
    <n v="59880"/>
    <n v="57469.36"/>
    <n v="57833.32"/>
    <n v="774.22"/>
    <x v="1"/>
    <e v="#REF!"/>
  </r>
  <r>
    <x v="43"/>
    <s v="Oct"/>
    <s v="BTCUSD"/>
    <n v="58884.7"/>
    <n v="62508.87"/>
    <n v="57500"/>
    <n v="61706.36"/>
    <n v="2789.79"/>
    <x v="1"/>
    <e v="#REF!"/>
  </r>
  <r>
    <x v="209"/>
    <s v="Mar"/>
    <s v="BTCUSD"/>
    <n v="57793.71"/>
    <n v="59448.39"/>
    <n v="57507.61"/>
    <n v="58428.9"/>
    <n v="1014.17"/>
    <x v="1"/>
    <e v="#REF!"/>
  </r>
  <r>
    <x v="347"/>
    <s v="May"/>
    <s v="BTCUSD"/>
    <n v="58187.76"/>
    <n v="59560"/>
    <n v="57583.09"/>
    <n v="58545.16"/>
    <n v="1692.08"/>
    <x v="1"/>
    <e v="#REF!"/>
  </r>
  <r>
    <x v="184"/>
    <s v="Apr"/>
    <s v="BTCUSD"/>
    <n v="58014.19"/>
    <n v="59170"/>
    <n v="57689.72"/>
    <n v="59160"/>
    <n v="930.34"/>
    <x v="1"/>
    <e v="#REF!"/>
  </r>
  <r>
    <x v="190"/>
    <s v="Apr"/>
    <s v="BTCUSD"/>
    <n v="59143.58"/>
    <n v="60100"/>
    <n v="57946.28"/>
    <n v="59800"/>
    <n v="1221"/>
    <x v="1"/>
    <e v="#REF!"/>
  </r>
  <r>
    <x v="46"/>
    <s v="Oct"/>
    <s v="BTCUSD"/>
    <n v="60728"/>
    <n v="61500"/>
    <n v="58100"/>
    <n v="58884.7"/>
    <n v="1865.12"/>
    <x v="1"/>
    <e v="#REF!"/>
  </r>
  <r>
    <x v="348"/>
    <s v="Apr"/>
    <s v="BTCUSD"/>
    <n v="59160"/>
    <n v="61180"/>
    <n v="58316.33"/>
    <n v="60240.83"/>
    <n v="1344.77"/>
    <x v="1"/>
    <e v="#REF!"/>
  </r>
  <r>
    <x v="19"/>
    <s v="Nov"/>
    <s v="BTCUSD"/>
    <n v="59050.45"/>
    <n v="60976.25"/>
    <n v="58434.8"/>
    <n v="59885.21"/>
    <n v="1794.84"/>
    <x v="1"/>
    <e v="#REF!"/>
  </r>
  <r>
    <x v="349"/>
    <s v="Apr"/>
    <s v="BTCUSD"/>
    <n v="59800"/>
    <n v="59950"/>
    <n v="58485.68"/>
    <n v="59251.040000000001"/>
    <n v="760.64"/>
    <x v="1"/>
    <e v="#REF!"/>
  </r>
  <r>
    <x v="10"/>
    <s v="Nov"/>
    <s v="BTCUSD"/>
    <n v="60944.13"/>
    <n v="61558.53"/>
    <n v="58573"/>
    <n v="59050.45"/>
    <n v="2725.2"/>
    <x v="1"/>
    <e v="#REF!"/>
  </r>
  <r>
    <x v="350"/>
    <s v="Mar"/>
    <s v="BTCUSD"/>
    <n v="61354.75"/>
    <n v="61500.82"/>
    <n v="58750"/>
    <n v="60362.18"/>
    <n v="1286.1500000000001"/>
    <x v="1"/>
    <e v="#REF!"/>
  </r>
  <r>
    <x v="72"/>
    <s v="Oct"/>
    <s v="BTCUSD"/>
    <n v="59407.55"/>
    <n v="62898"/>
    <n v="58768.79"/>
    <n v="61624.84"/>
    <n v="3069.46"/>
    <x v="1"/>
    <e v="#REF!"/>
  </r>
  <r>
    <x v="351"/>
    <s v="Oct"/>
    <s v="BTCUSD"/>
    <n v="61144.42"/>
    <n v="62552.73"/>
    <n v="58937.03"/>
    <n v="62100"/>
    <n v="929.51"/>
    <x v="1"/>
    <e v="#REF!"/>
  </r>
  <r>
    <x v="352"/>
    <s v="Apr"/>
    <s v="BTCUSD"/>
    <n v="60240.83"/>
    <n v="60416.42"/>
    <n v="59200"/>
    <n v="60325.66"/>
    <n v="644.47"/>
    <x v="1"/>
    <e v="#REF!"/>
  </r>
  <r>
    <x v="182"/>
    <s v="Apr"/>
    <s v="BTCUSD"/>
    <n v="60325.66"/>
    <n v="61197.09"/>
    <n v="59400.01"/>
    <n v="60415.91"/>
    <n v="1343.29"/>
    <x v="1"/>
    <e v="#REF!"/>
  </r>
  <r>
    <x v="38"/>
    <s v="Nov"/>
    <s v="BTCUSD"/>
    <n v="59947.01"/>
    <n v="62490"/>
    <n v="59490.18"/>
    <n v="61133.24"/>
    <n v="1488.56"/>
    <x v="1"/>
    <e v="#REF!"/>
  </r>
  <r>
    <x v="353"/>
    <s v="Oct"/>
    <s v="BTCUSD"/>
    <n v="61226"/>
    <n v="62223.14"/>
    <n v="59505"/>
    <n v="62091.93"/>
    <n v="848.7"/>
    <x v="1"/>
    <e v="#REF!"/>
  </r>
  <r>
    <x v="354"/>
    <s v="Oct"/>
    <s v="BTCUSD"/>
    <n v="61234.9"/>
    <n v="61743.51"/>
    <n v="59648.91"/>
    <n v="61226"/>
    <n v="543.67999999999995"/>
    <x v="1"/>
    <e v="#REF!"/>
  </r>
  <r>
    <x v="355"/>
    <s v="Oct"/>
    <s v="BTCUSD"/>
    <n v="61719.1"/>
    <n v="61768"/>
    <n v="59731.57"/>
    <n v="59947.01"/>
    <n v="975.65"/>
    <x v="1"/>
    <e v="#REF!"/>
  </r>
  <r>
    <x v="42"/>
    <s v="Oct"/>
    <s v="BTCUSD"/>
    <n v="62765.47"/>
    <n v="63102.8"/>
    <n v="59850"/>
    <n v="60728"/>
    <n v="1278.71"/>
    <x v="1"/>
    <e v="#REF!"/>
  </r>
  <r>
    <x v="67"/>
    <s v="Oct"/>
    <s v="BTCUSD"/>
    <n v="62100"/>
    <n v="62973.38"/>
    <n v="59926.13"/>
    <n v="62600"/>
    <n v="2631.53"/>
    <x v="1"/>
    <e v="#REF!"/>
  </r>
  <r>
    <x v="48"/>
    <s v="Oct"/>
    <s v="BTCUSD"/>
    <n v="63243.4"/>
    <n v="63745.62"/>
    <n v="60000"/>
    <n v="61234.9"/>
    <n v="1652.99"/>
    <x v="1"/>
    <e v="#REF!"/>
  </r>
  <r>
    <x v="165"/>
    <s v="Apr"/>
    <s v="BTCUSD"/>
    <n v="62998.68"/>
    <n v="62998.68"/>
    <n v="60055.14"/>
    <n v="62450"/>
    <n v="2319.6"/>
    <x v="1"/>
    <e v="#REF!"/>
  </r>
  <r>
    <x v="32"/>
    <s v="Nov"/>
    <s v="BTCUSD"/>
    <n v="63257.57"/>
    <n v="63547.54"/>
    <n v="60110"/>
    <n v="62469.83"/>
    <n v="1448.49"/>
    <x v="1"/>
    <e v="#REF!"/>
  </r>
  <r>
    <x v="356"/>
    <s v="Nov"/>
    <s v="BTCUSD"/>
    <n v="61172.03"/>
    <n v="62338.16"/>
    <n v="60120"/>
    <n v="62199.69"/>
    <n v="758.38"/>
    <x v="1"/>
    <e v="#REF!"/>
  </r>
  <r>
    <x v="357"/>
    <s v="Oct"/>
    <s v="BTCUSD"/>
    <n v="61624.84"/>
    <n v="62366.080000000002"/>
    <n v="60174.14"/>
    <n v="61144.42"/>
    <n v="864.57"/>
    <x v="1"/>
    <e v="#REF!"/>
  </r>
  <r>
    <x v="180"/>
    <s v="Apr"/>
    <s v="BTCUSD"/>
    <n v="60415.91"/>
    <n v="63880"/>
    <n v="60321.120000000003"/>
    <n v="63773.18"/>
    <n v="2091.4299999999998"/>
    <x v="1"/>
    <e v="#REF!"/>
  </r>
  <r>
    <x v="40"/>
    <s v="Oct"/>
    <s v="BTCUSD"/>
    <n v="61706.36"/>
    <n v="62978"/>
    <n v="60367"/>
    <n v="61669.43"/>
    <n v="1737.13"/>
    <x v="1"/>
    <e v="#REF!"/>
  </r>
  <r>
    <x v="22"/>
    <s v="Nov"/>
    <s v="BTCUSD"/>
    <n v="65744.179999999993"/>
    <n v="66340.740000000005"/>
    <n v="60503"/>
    <n v="60944.13"/>
    <n v="1790.8"/>
    <x v="1"/>
    <e v="#REF!"/>
  </r>
  <r>
    <x v="358"/>
    <s v="Oct"/>
    <s v="BTCUSD"/>
    <n v="61669.43"/>
    <n v="62487.97"/>
    <n v="60696.52"/>
    <n v="61719.1"/>
    <n v="1116.81"/>
    <x v="1"/>
    <e v="#REF!"/>
  </r>
  <r>
    <x v="27"/>
    <s v="Nov"/>
    <s v="BTCUSD"/>
    <n v="62469.83"/>
    <n v="62858.83"/>
    <n v="60724.160000000003"/>
    <n v="62249.599999999999"/>
    <n v="1036.53"/>
    <x v="1"/>
    <e v="#REF!"/>
  </r>
  <r>
    <x v="8"/>
    <s v="Nov"/>
    <s v="BTCUSD"/>
    <n v="62249.599999999999"/>
    <n v="64000"/>
    <n v="60777.3"/>
    <n v="61172.03"/>
    <n v="1043.9100000000001"/>
    <x v="1"/>
    <e v="#REF!"/>
  </r>
  <r>
    <x v="37"/>
    <s v="Nov"/>
    <s v="BTCUSD"/>
    <n v="61133.24"/>
    <n v="64319"/>
    <n v="61124.5"/>
    <n v="63257.57"/>
    <n v="1791.9"/>
    <x v="1"/>
    <e v="#REF!"/>
  </r>
  <r>
    <x v="179"/>
    <s v="Apr"/>
    <s v="BTCUSD"/>
    <n v="63773.18"/>
    <n v="64900"/>
    <n v="61303.97"/>
    <n v="63063.72"/>
    <n v="2922.03"/>
    <x v="1"/>
    <e v="#REF!"/>
  </r>
  <r>
    <x v="60"/>
    <s v="Oct"/>
    <s v="BTCUSD"/>
    <n v="62600"/>
    <n v="64498.12"/>
    <n v="61312"/>
    <n v="63870.2"/>
    <n v="1914.15"/>
    <x v="1"/>
    <e v="#REF!"/>
  </r>
  <r>
    <x v="49"/>
    <s v="Oct"/>
    <s v="BTCUSD"/>
    <n v="65077.99"/>
    <n v="66643.14"/>
    <n v="61418.02"/>
    <n v="63243.4"/>
    <n v="2908.73"/>
    <x v="1"/>
    <e v="#REF!"/>
  </r>
  <r>
    <x v="359"/>
    <s v="Nov"/>
    <s v="BTCUSD"/>
    <n v="62199.69"/>
    <n v="65680"/>
    <n v="61537.32"/>
    <n v="65235.199999999997"/>
    <n v="892.82"/>
    <x v="1"/>
    <e v="#REF!"/>
  </r>
  <r>
    <x v="47"/>
    <s v="Oct"/>
    <s v="BTCUSD"/>
    <n v="62091.93"/>
    <n v="63703.3"/>
    <n v="61822.81"/>
    <n v="62765.47"/>
    <n v="1477.09"/>
    <x v="1"/>
    <e v="#REF!"/>
  </r>
  <r>
    <x v="173"/>
    <s v="Apr"/>
    <s v="BTCUSD"/>
    <n v="63063.72"/>
    <n v="63855.12"/>
    <n v="62045"/>
    <n v="62998.68"/>
    <n v="1328.55"/>
    <x v="1"/>
    <e v="#REF!"/>
  </r>
  <r>
    <x v="25"/>
    <s v="Nov"/>
    <s v="BTCUSD"/>
    <n v="64857.63"/>
    <n v="65071.49"/>
    <n v="62875"/>
    <n v="63805.120000000003"/>
    <n v="1466.29"/>
    <x v="1"/>
    <e v="#REF!"/>
  </r>
  <r>
    <x v="26"/>
    <s v="Nov"/>
    <s v="BTCUSD"/>
    <n v="66491.25"/>
    <n v="69000"/>
    <n v="62927.97"/>
    <n v="64785.34"/>
    <n v="2966.58"/>
    <x v="1"/>
    <e v="#REF!"/>
  </r>
  <r>
    <x v="360"/>
    <s v="Nov"/>
    <s v="BTCUSD"/>
    <n v="63805.120000000003"/>
    <n v="65338.87"/>
    <n v="63409.49"/>
    <n v="64673.279999999999"/>
    <n v="310.01"/>
    <x v="1"/>
    <e v="#REF!"/>
  </r>
  <r>
    <x v="52"/>
    <s v="Oct"/>
    <s v="BTCUSD"/>
    <n v="63870.2"/>
    <n v="66994.720000000001"/>
    <n v="63540.51"/>
    <n v="65077.99"/>
    <n v="2836.59"/>
    <x v="1"/>
    <e v="#REF!"/>
  </r>
  <r>
    <x v="361"/>
    <s v="Nov"/>
    <s v="BTCUSD"/>
    <n v="64673.279999999999"/>
    <n v="66200"/>
    <n v="63602.2"/>
    <n v="65744.179999999993"/>
    <n v="528.5"/>
    <x v="1"/>
    <e v="#REF!"/>
  </r>
  <r>
    <x v="31"/>
    <s v="Nov"/>
    <s v="BTCUSD"/>
    <n v="64785.34"/>
    <n v="65587"/>
    <n v="64121"/>
    <n v="64857.63"/>
    <n v="1050.51"/>
    <x v="1"/>
    <e v="#REF!"/>
  </r>
  <r>
    <x v="11"/>
    <s v="Nov"/>
    <s v="BTCUSD"/>
    <n v="65235.199999999997"/>
    <n v="68534.11"/>
    <n v="65138"/>
    <n v="68525.75"/>
    <n v="1421.08"/>
    <x v="1"/>
    <e v="#REF!"/>
  </r>
  <r>
    <x v="16"/>
    <s v="Nov"/>
    <s v="BTCUSD"/>
    <n v="68525.75"/>
    <n v="68529.52"/>
    <n v="66262.48"/>
    <n v="66491.25"/>
    <n v="1229.46"/>
    <x v="1"/>
    <e v="#REF!"/>
  </r>
  <r>
    <x v="362"/>
    <m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F02A9-7812-4788-B9AF-1C3D5F1514EE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E20" firstHeaderRow="1" firstDataRow="2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lose" fld="0" subtotal="average" baseField="0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1" selected="0">
              <x v="0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lose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tcoin-analysis.xlsx!data[[Open]:[Column3]]">
        <x15:activeTabTopLevelEntity name="[data  Open   Column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DF190-86CB-4E32-BE5B-8B31078313BA}" name="PivotTable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367" firstHeaderRow="1" firstDataRow="2" firstDataCol="1"/>
  <pivotFields count="12">
    <pivotField axis="axisRow" showAll="0">
      <items count="364">
        <item x="250"/>
        <item x="251"/>
        <item x="248"/>
        <item x="243"/>
        <item x="239"/>
        <item x="284"/>
        <item x="262"/>
        <item x="242"/>
        <item x="244"/>
        <item x="241"/>
        <item x="240"/>
        <item x="246"/>
        <item x="281"/>
        <item x="269"/>
        <item x="275"/>
        <item x="245"/>
        <item x="230"/>
        <item x="228"/>
        <item x="232"/>
        <item x="257"/>
        <item x="253"/>
        <item x="231"/>
        <item x="227"/>
        <item x="237"/>
        <item x="238"/>
        <item x="249"/>
        <item x="263"/>
        <item x="258"/>
        <item x="247"/>
        <item x="236"/>
        <item x="234"/>
        <item x="226"/>
        <item x="223"/>
        <item x="283"/>
        <item x="282"/>
        <item x="217"/>
        <item x="215"/>
        <item x="207"/>
        <item x="211"/>
        <item x="205"/>
        <item x="303"/>
        <item x="299"/>
        <item x="304"/>
        <item x="201"/>
        <item x="206"/>
        <item x="213"/>
        <item x="208"/>
        <item x="331"/>
        <item x="336"/>
        <item x="221"/>
        <item x="222"/>
        <item x="210"/>
        <item x="212"/>
        <item x="229"/>
        <item x="294"/>
        <item x="293"/>
        <item x="218"/>
        <item x="219"/>
        <item x="225"/>
        <item x="235"/>
        <item x="233"/>
        <item x="307"/>
        <item x="319"/>
        <item x="224"/>
        <item x="220"/>
        <item x="216"/>
        <item x="199"/>
        <item x="203"/>
        <item x="339"/>
        <item x="350"/>
        <item x="196"/>
        <item x="194"/>
        <item x="192"/>
        <item x="197"/>
        <item x="209"/>
        <item x="346"/>
        <item x="335"/>
        <item x="200"/>
        <item x="202"/>
        <item x="204"/>
        <item x="214"/>
        <item x="195"/>
        <item x="330"/>
        <item x="334"/>
        <item x="193"/>
        <item x="198"/>
        <item x="191"/>
        <item x="190"/>
        <item x="349"/>
        <item x="341"/>
        <item x="342"/>
        <item x="188"/>
        <item x="187"/>
        <item x="189"/>
        <item x="186"/>
        <item x="184"/>
        <item x="348"/>
        <item x="352"/>
        <item x="182"/>
        <item x="180"/>
        <item x="179"/>
        <item x="173"/>
        <item x="165"/>
        <item x="325"/>
        <item x="327"/>
        <item x="169"/>
        <item x="178"/>
        <item x="172"/>
        <item x="170"/>
        <item x="163"/>
        <item x="318"/>
        <item x="306"/>
        <item x="162"/>
        <item x="164"/>
        <item x="160"/>
        <item x="149"/>
        <item x="161"/>
        <item x="340"/>
        <item x="337"/>
        <item x="155"/>
        <item x="171"/>
        <item x="167"/>
        <item x="158"/>
        <item x="140"/>
        <item x="347"/>
        <item x="338"/>
        <item x="143"/>
        <item x="177"/>
        <item x="181"/>
        <item x="183"/>
        <item x="168"/>
        <item x="305"/>
        <item x="291"/>
        <item x="175"/>
        <item x="176"/>
        <item x="185"/>
        <item x="174"/>
        <item x="166"/>
        <item x="280"/>
        <item x="254"/>
        <item x="154"/>
        <item x="152"/>
        <item x="159"/>
        <item x="153"/>
        <item x="150"/>
        <item x="266"/>
        <item x="273"/>
        <item x="271"/>
        <item x="144"/>
        <item x="151"/>
        <item x="157"/>
        <item x="145"/>
        <item x="277"/>
        <item x="279"/>
        <item x="146"/>
        <item x="142"/>
        <item x="141"/>
        <item x="138"/>
        <item x="139"/>
        <item x="274"/>
        <item x="276"/>
        <item x="136"/>
        <item x="133"/>
        <item x="137"/>
        <item x="147"/>
        <item x="156"/>
        <item x="278"/>
        <item x="265"/>
        <item x="148"/>
        <item x="135"/>
        <item x="134"/>
        <item x="132"/>
        <item x="131"/>
        <item x="252"/>
        <item x="259"/>
        <item x="130"/>
        <item x="128"/>
        <item x="127"/>
        <item x="126"/>
        <item x="123"/>
        <item x="267"/>
        <item x="272"/>
        <item x="261"/>
        <item x="121"/>
        <item x="119"/>
        <item x="125"/>
        <item x="114"/>
        <item x="260"/>
        <item x="264"/>
        <item x="107"/>
        <item x="106"/>
        <item x="105"/>
        <item x="117"/>
        <item x="111"/>
        <item x="256"/>
        <item x="255"/>
        <item x="129"/>
        <item x="124"/>
        <item x="120"/>
        <item x="115"/>
        <item x="100"/>
        <item x="268"/>
        <item x="270"/>
        <item x="91"/>
        <item x="96"/>
        <item x="99"/>
        <item x="88"/>
        <item x="101"/>
        <item x="287"/>
        <item x="285"/>
        <item x="92"/>
        <item x="90"/>
        <item x="97"/>
        <item x="89"/>
        <item x="84"/>
        <item x="290"/>
        <item x="292"/>
        <item x="86"/>
        <item x="82"/>
        <item x="81"/>
        <item x="78"/>
        <item x="74"/>
        <item x="300"/>
        <item x="298"/>
        <item x="71"/>
        <item x="77"/>
        <item x="80"/>
        <item x="94"/>
        <item x="83"/>
        <item x="316"/>
        <item x="314"/>
        <item x="66"/>
        <item x="65"/>
        <item x="62"/>
        <item x="63"/>
        <item x="61"/>
        <item x="315"/>
        <item x="311"/>
        <item x="53"/>
        <item x="56"/>
        <item x="54"/>
        <item x="50"/>
        <item x="51"/>
        <item x="320"/>
        <item x="322"/>
        <item x="326"/>
        <item x="55"/>
        <item x="58"/>
        <item x="57"/>
        <item x="59"/>
        <item x="296"/>
        <item x="295"/>
        <item x="64"/>
        <item x="70"/>
        <item x="68"/>
        <item x="69"/>
        <item x="73"/>
        <item x="310"/>
        <item x="297"/>
        <item x="103"/>
        <item x="104"/>
        <item x="95"/>
        <item x="75"/>
        <item x="76"/>
        <item x="288"/>
        <item x="286"/>
        <item x="79"/>
        <item x="93"/>
        <item x="108"/>
        <item x="109"/>
        <item x="110"/>
        <item x="308"/>
        <item x="309"/>
        <item x="122"/>
        <item x="116"/>
        <item x="118"/>
        <item x="87"/>
        <item x="102"/>
        <item x="332"/>
        <item x="333"/>
        <item x="98"/>
        <item x="112"/>
        <item x="113"/>
        <item x="85"/>
        <item x="72"/>
        <item x="357"/>
        <item x="351"/>
        <item x="67"/>
        <item x="60"/>
        <item x="52"/>
        <item x="49"/>
        <item x="48"/>
        <item x="354"/>
        <item x="353"/>
        <item x="47"/>
        <item x="42"/>
        <item x="46"/>
        <item x="43"/>
        <item x="40"/>
        <item x="358"/>
        <item x="355"/>
        <item x="38"/>
        <item x="37"/>
        <item x="32"/>
        <item x="27"/>
        <item x="8"/>
        <item x="356"/>
        <item x="359"/>
        <item x="11"/>
        <item x="16"/>
        <item x="26"/>
        <item x="31"/>
        <item x="25"/>
        <item x="360"/>
        <item x="361"/>
        <item x="22"/>
        <item x="10"/>
        <item x="19"/>
        <item x="15"/>
        <item x="9"/>
        <item x="345"/>
        <item x="343"/>
        <item x="5"/>
        <item x="20"/>
        <item x="18"/>
        <item x="344"/>
        <item x="30"/>
        <item x="329"/>
        <item x="328"/>
        <item x="28"/>
        <item x="36"/>
        <item x="34"/>
        <item x="44"/>
        <item x="41"/>
        <item x="289"/>
        <item x="313"/>
        <item x="39"/>
        <item x="24"/>
        <item x="17"/>
        <item x="23"/>
        <item x="12"/>
        <item x="312"/>
        <item x="317"/>
        <item x="14"/>
        <item x="33"/>
        <item x="13"/>
        <item x="7"/>
        <item x="29"/>
        <item x="301"/>
        <item x="302"/>
        <item x="45"/>
        <item x="35"/>
        <item x="21"/>
        <item x="6"/>
        <item x="324"/>
        <item x="323"/>
        <item x="321"/>
        <item x="3"/>
        <item x="1"/>
        <item x="2"/>
        <item x="0"/>
        <item x="4"/>
        <item x="36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High" fld="4" baseField="0" baseItem="0"/>
  </dataFields>
  <chartFormats count="5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042E71-432F-4418-909C-DAE91C8CEAC0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Date" tableColumnId="1"/>
      <queryTableField id="2" name="Month" tableColumnId="2"/>
      <queryTableField id="3" name="Symbol" tableColumnId="3"/>
      <queryTableField id="4" name="Open" tableColumnId="4"/>
      <queryTableField id="5" name="High" tableColumnId="5"/>
      <queryTableField id="6" name="Low" tableColumnId="6"/>
      <queryTableField id="7" name="Close" tableColumnId="7"/>
      <queryTableField id="8" name="Volume" tableColumnId="8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20F64-6154-476C-9E1B-2106A22DF402}" name="data" displayName="data" ref="A1:J615" tableType="queryTable" totalsRowShown="0">
  <autoFilter ref="A1:J615" xr:uid="{6E020F64-6154-476C-9E1B-2106A22DF402}">
    <filterColumn colId="8">
      <filters>
        <filter val="SP500"/>
      </filters>
    </filterColumn>
  </autoFilter>
  <sortState xmlns:xlrd2="http://schemas.microsoft.com/office/spreadsheetml/2017/richdata2" ref="A2:J253">
    <sortCondition descending="1" ref="E1:E615"/>
  </sortState>
  <tableColumns count="10">
    <tableColumn id="1" xr3:uid="{B83877D5-127B-437C-8062-996CDDCE0F64}" uniqueName="1" name="Date" queryTableFieldId="1" dataDxfId="7"/>
    <tableColumn id="2" xr3:uid="{81877761-B425-4AA7-936E-B4BE68A7FA3C}" uniqueName="2" name="Month" queryTableFieldId="2" dataDxfId="6"/>
    <tableColumn id="3" xr3:uid="{7BBEBE89-17FF-4F35-AB52-5478A5D8FF4A}" uniqueName="3" name="Symbol" queryTableFieldId="3" dataDxfId="5"/>
    <tableColumn id="4" xr3:uid="{04E94A93-EAF2-41BB-AAC5-330ED0A5E999}" uniqueName="4" name="Open" queryTableFieldId="4"/>
    <tableColumn id="5" xr3:uid="{E6335EAB-19DC-4C19-A99D-246015E84333}" uniqueName="5" name="High" queryTableFieldId="5"/>
    <tableColumn id="6" xr3:uid="{475073B4-1F54-4D46-BA13-D665856846EC}" uniqueName="6" name="Low" queryTableFieldId="6"/>
    <tableColumn id="7" xr3:uid="{61568D85-4CFC-47F3-A198-C68385114686}" uniqueName="7" name="Close" queryTableFieldId="7"/>
    <tableColumn id="8" xr3:uid="{873DE82A-8FC8-4BD7-88C5-ADDA60A128B0}" uniqueName="8" name="Volume" queryTableFieldId="8"/>
    <tableColumn id="10" xr3:uid="{F247EB2B-B2A9-4F91-8541-8489F7CA1330}" uniqueName="10" name="Cleaned Symbol" queryTableFieldId="10" dataDxfId="4">
      <calculatedColumnFormula>TRIM(C2)</calculatedColumnFormula>
    </tableColumn>
    <tableColumn id="11" xr3:uid="{7753EE98-8240-4046-9D35-BE07D9169E2E}" uniqueName="11" name="Cleaned Month" queryTableFieldId="11">
      <calculatedColumnFormula>LEFT(#REF!,3)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787E-96D8-48AF-AFC3-A70747382D15}">
  <dimension ref="A1:J615"/>
  <sheetViews>
    <sheetView workbookViewId="0">
      <selection activeCell="M5" sqref="M5"/>
    </sheetView>
  </sheetViews>
  <sheetFormatPr defaultRowHeight="15.75" x14ac:dyDescent="0.25"/>
  <cols>
    <col min="1" max="1" width="8.125" style="20" bestFit="1" customWidth="1"/>
    <col min="2" max="2" width="9.5" style="20" bestFit="1" customWidth="1"/>
    <col min="3" max="3" width="9.25" style="20" bestFit="1" customWidth="1"/>
    <col min="4" max="7" width="8.875" style="20" bestFit="1" customWidth="1"/>
    <col min="8" max="8" width="10.875" style="20" bestFit="1" customWidth="1"/>
    <col min="9" max="9" width="16.625" style="20" bestFit="1" customWidth="1"/>
    <col min="10" max="10" width="16.125" style="20" bestFit="1" customWidth="1"/>
  </cols>
  <sheetData>
    <row r="1" spans="1:1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43</v>
      </c>
      <c r="J1" s="20" t="s">
        <v>44</v>
      </c>
    </row>
    <row r="2" spans="1:10" x14ac:dyDescent="0.25">
      <c r="A2" s="21">
        <v>44560</v>
      </c>
      <c r="B2" s="22" t="s">
        <v>32</v>
      </c>
      <c r="C2" s="22" t="s">
        <v>22</v>
      </c>
      <c r="D2" s="20">
        <v>4794.2299999999996</v>
      </c>
      <c r="E2" s="20">
        <v>4808.93</v>
      </c>
      <c r="F2" s="20">
        <v>4775.33</v>
      </c>
      <c r="G2" s="20">
        <v>4778.7299999999996</v>
      </c>
      <c r="H2" s="20">
        <v>2390990000</v>
      </c>
      <c r="I2" s="20" t="str">
        <f>TRIM(C2)</f>
        <v>SP500</v>
      </c>
      <c r="J2" s="20" t="s">
        <v>20</v>
      </c>
    </row>
    <row r="3" spans="1:10" x14ac:dyDescent="0.25">
      <c r="A3" s="21">
        <v>44558</v>
      </c>
      <c r="B3" s="22" t="s">
        <v>32</v>
      </c>
      <c r="C3" s="22" t="s">
        <v>22</v>
      </c>
      <c r="D3" s="20">
        <v>4795.49</v>
      </c>
      <c r="E3" s="20">
        <v>4807.0200000000004</v>
      </c>
      <c r="F3" s="20">
        <v>4780.04</v>
      </c>
      <c r="G3" s="20">
        <v>4786.3500000000004</v>
      </c>
      <c r="H3" s="20">
        <v>2217050000</v>
      </c>
      <c r="I3" s="20" t="str">
        <f>TRIM(C3)</f>
        <v>SP500</v>
      </c>
      <c r="J3" s="20" t="s">
        <v>20</v>
      </c>
    </row>
    <row r="4" spans="1:10" x14ac:dyDescent="0.25">
      <c r="A4" s="21">
        <v>44559</v>
      </c>
      <c r="B4" s="22" t="s">
        <v>32</v>
      </c>
      <c r="C4" s="22" t="s">
        <v>22</v>
      </c>
      <c r="D4" s="20">
        <v>4788.6400000000003</v>
      </c>
      <c r="E4" s="20">
        <v>4804.0600000000004</v>
      </c>
      <c r="F4" s="20">
        <v>4778.08</v>
      </c>
      <c r="G4" s="20">
        <v>4793.0600000000004</v>
      </c>
      <c r="H4" s="20">
        <v>2369370000</v>
      </c>
      <c r="I4" s="20" t="str">
        <f>TRIM(C4)</f>
        <v>SP500</v>
      </c>
      <c r="J4" s="20" t="s">
        <v>20</v>
      </c>
    </row>
    <row r="5" spans="1:10" x14ac:dyDescent="0.25">
      <c r="A5" s="21">
        <v>44557</v>
      </c>
      <c r="B5" s="22" t="s">
        <v>32</v>
      </c>
      <c r="C5" s="22" t="s">
        <v>22</v>
      </c>
      <c r="D5" s="20">
        <v>4733.99</v>
      </c>
      <c r="E5" s="20">
        <v>4791.49</v>
      </c>
      <c r="F5" s="20">
        <v>4733.99</v>
      </c>
      <c r="G5" s="20">
        <v>4791.1899999999996</v>
      </c>
      <c r="H5" s="20">
        <v>2264120000</v>
      </c>
      <c r="I5" s="20" t="str">
        <f>TRIM(C5)</f>
        <v>SP500</v>
      </c>
      <c r="J5" s="20" t="s">
        <v>20</v>
      </c>
    </row>
    <row r="6" spans="1:10" x14ac:dyDescent="0.25">
      <c r="A6" s="21">
        <v>44561</v>
      </c>
      <c r="B6" s="22" t="s">
        <v>32</v>
      </c>
      <c r="C6" s="22" t="s">
        <v>22</v>
      </c>
      <c r="D6" s="20">
        <v>4775.21</v>
      </c>
      <c r="E6" s="20">
        <v>4786.83</v>
      </c>
      <c r="F6" s="20">
        <v>4765.75</v>
      </c>
      <c r="G6" s="20">
        <v>4766.18</v>
      </c>
      <c r="H6" s="20">
        <v>2446190000</v>
      </c>
      <c r="I6" s="20" t="str">
        <f>TRIM(C6)</f>
        <v>SP500</v>
      </c>
      <c r="J6" s="20" t="s">
        <v>20</v>
      </c>
    </row>
    <row r="7" spans="1:10" x14ac:dyDescent="0.25">
      <c r="A7" s="21">
        <v>44522</v>
      </c>
      <c r="B7" s="22" t="s">
        <v>31</v>
      </c>
      <c r="C7" s="22" t="s">
        <v>22</v>
      </c>
      <c r="D7" s="20">
        <v>4712</v>
      </c>
      <c r="E7" s="20">
        <v>4743.83</v>
      </c>
      <c r="F7" s="20">
        <v>4682.17</v>
      </c>
      <c r="G7" s="20">
        <v>4682.9399999999996</v>
      </c>
      <c r="H7" s="20">
        <v>3206280000</v>
      </c>
      <c r="I7" s="20" t="str">
        <f>TRIM(C7)</f>
        <v>SP500</v>
      </c>
      <c r="J7" s="20" t="s">
        <v>19</v>
      </c>
    </row>
    <row r="8" spans="1:10" x14ac:dyDescent="0.25">
      <c r="A8" s="21">
        <v>44553</v>
      </c>
      <c r="B8" s="22" t="s">
        <v>32</v>
      </c>
      <c r="C8" s="22" t="s">
        <v>22</v>
      </c>
      <c r="D8" s="20">
        <v>4703.96</v>
      </c>
      <c r="E8" s="20">
        <v>4740.74</v>
      </c>
      <c r="F8" s="20">
        <v>4703.96</v>
      </c>
      <c r="G8" s="20">
        <v>4725.79</v>
      </c>
      <c r="H8" s="20">
        <v>2194630000</v>
      </c>
      <c r="I8" s="20" t="str">
        <f>TRIM(C8)</f>
        <v>SP500</v>
      </c>
      <c r="J8" s="20" t="s">
        <v>20</v>
      </c>
    </row>
    <row r="9" spans="1:10" x14ac:dyDescent="0.25">
      <c r="A9" s="21">
        <v>44546</v>
      </c>
      <c r="B9" s="22" t="s">
        <v>32</v>
      </c>
      <c r="C9" s="22" t="s">
        <v>22</v>
      </c>
      <c r="D9" s="20">
        <v>4719.13</v>
      </c>
      <c r="E9" s="20">
        <v>4731.99</v>
      </c>
      <c r="F9" s="20">
        <v>4651.8900000000003</v>
      </c>
      <c r="G9" s="20">
        <v>4668.67</v>
      </c>
      <c r="H9" s="20">
        <v>3592810000</v>
      </c>
      <c r="I9" s="20" t="str">
        <f>TRIM(C9)</f>
        <v>SP500</v>
      </c>
      <c r="J9" s="20" t="s">
        <v>20</v>
      </c>
    </row>
    <row r="10" spans="1:10" x14ac:dyDescent="0.25">
      <c r="A10" s="21">
        <v>44505</v>
      </c>
      <c r="B10" s="22" t="s">
        <v>31</v>
      </c>
      <c r="C10" s="22" t="s">
        <v>22</v>
      </c>
      <c r="D10" s="20">
        <v>4699.26</v>
      </c>
      <c r="E10" s="20">
        <v>4718.5</v>
      </c>
      <c r="F10" s="20">
        <v>4681.32</v>
      </c>
      <c r="G10" s="20">
        <v>4697.53</v>
      </c>
      <c r="H10" s="20">
        <v>3491150000</v>
      </c>
      <c r="I10" s="20" t="str">
        <f>TRIM(C10)</f>
        <v>SP500</v>
      </c>
      <c r="J10" s="20" t="s">
        <v>19</v>
      </c>
    </row>
    <row r="11" spans="1:10" x14ac:dyDescent="0.25">
      <c r="A11" s="21">
        <v>44519</v>
      </c>
      <c r="B11" s="22" t="s">
        <v>31</v>
      </c>
      <c r="C11" s="22" t="s">
        <v>22</v>
      </c>
      <c r="D11" s="20">
        <v>4708.4399999999996</v>
      </c>
      <c r="E11" s="20">
        <v>4717.75</v>
      </c>
      <c r="F11" s="20">
        <v>4694.22</v>
      </c>
      <c r="G11" s="20">
        <v>4697.96</v>
      </c>
      <c r="H11" s="20">
        <v>3265600000</v>
      </c>
      <c r="I11" s="20" t="str">
        <f>TRIM(C11)</f>
        <v>SP500</v>
      </c>
      <c r="J11" s="20" t="s">
        <v>19</v>
      </c>
    </row>
    <row r="12" spans="1:10" x14ac:dyDescent="0.25">
      <c r="A12" s="21">
        <v>44516</v>
      </c>
      <c r="B12" s="22" t="s">
        <v>31</v>
      </c>
      <c r="C12" s="22" t="s">
        <v>22</v>
      </c>
      <c r="D12" s="20">
        <v>4679.42</v>
      </c>
      <c r="E12" s="20">
        <v>4714.95</v>
      </c>
      <c r="F12" s="20">
        <v>4679.42</v>
      </c>
      <c r="G12" s="20">
        <v>4700.8999999999996</v>
      </c>
      <c r="H12" s="20">
        <v>2838210000</v>
      </c>
      <c r="I12" s="20" t="str">
        <f>TRIM(C12)</f>
        <v>SP500</v>
      </c>
      <c r="J12" s="20" t="s">
        <v>19</v>
      </c>
    </row>
    <row r="13" spans="1:10" x14ac:dyDescent="0.25">
      <c r="A13" s="21">
        <v>44508</v>
      </c>
      <c r="B13" s="22" t="s">
        <v>31</v>
      </c>
      <c r="C13" s="22" t="s">
        <v>22</v>
      </c>
      <c r="D13" s="20">
        <v>4701.4799999999996</v>
      </c>
      <c r="E13" s="20">
        <v>4714.92</v>
      </c>
      <c r="F13" s="20">
        <v>4694.3900000000003</v>
      </c>
      <c r="G13" s="20">
        <v>4701.7</v>
      </c>
      <c r="H13" s="20">
        <v>3465720000</v>
      </c>
      <c r="I13" s="20" t="str">
        <f>TRIM(C13)</f>
        <v>SP500</v>
      </c>
      <c r="J13" s="20" t="s">
        <v>19</v>
      </c>
    </row>
    <row r="14" spans="1:10" x14ac:dyDescent="0.25">
      <c r="A14" s="21">
        <v>44540</v>
      </c>
      <c r="B14" s="22" t="s">
        <v>32</v>
      </c>
      <c r="C14" s="22" t="s">
        <v>22</v>
      </c>
      <c r="D14" s="20">
        <v>4687.6400000000003</v>
      </c>
      <c r="E14" s="20">
        <v>4713.57</v>
      </c>
      <c r="F14" s="20">
        <v>4670.24</v>
      </c>
      <c r="G14" s="20">
        <v>4712.0200000000004</v>
      </c>
      <c r="H14" s="20">
        <v>2858310000</v>
      </c>
      <c r="I14" s="20" t="str">
        <f>TRIM(C14)</f>
        <v>SP500</v>
      </c>
      <c r="J14" s="20" t="s">
        <v>20</v>
      </c>
    </row>
    <row r="15" spans="1:10" x14ac:dyDescent="0.25">
      <c r="A15" s="21">
        <v>44545</v>
      </c>
      <c r="B15" s="22" t="s">
        <v>32</v>
      </c>
      <c r="C15" s="22" t="s">
        <v>22</v>
      </c>
      <c r="D15" s="20">
        <v>4636.46</v>
      </c>
      <c r="E15" s="20">
        <v>4712.6000000000004</v>
      </c>
      <c r="F15" s="20">
        <v>4611.22</v>
      </c>
      <c r="G15" s="20">
        <v>4709.8500000000004</v>
      </c>
      <c r="H15" s="20">
        <v>3367580000</v>
      </c>
      <c r="I15" s="20" t="str">
        <f>TRIM(C15)</f>
        <v>SP500</v>
      </c>
      <c r="J15" s="20" t="s">
        <v>20</v>
      </c>
    </row>
    <row r="16" spans="1:10" x14ac:dyDescent="0.25">
      <c r="A16" s="21">
        <v>44543</v>
      </c>
      <c r="B16" s="22" t="s">
        <v>32</v>
      </c>
      <c r="C16" s="22" t="s">
        <v>22</v>
      </c>
      <c r="D16" s="20">
        <v>4710.3</v>
      </c>
      <c r="E16" s="20">
        <v>4710.3</v>
      </c>
      <c r="F16" s="20">
        <v>4667.6000000000004</v>
      </c>
      <c r="G16" s="20">
        <v>4668.97</v>
      </c>
      <c r="H16" s="20">
        <v>3322050000</v>
      </c>
      <c r="I16" s="20" t="str">
        <f>TRIM(C16)</f>
        <v>SP500</v>
      </c>
      <c r="J16" s="20" t="s">
        <v>20</v>
      </c>
    </row>
    <row r="17" spans="1:10" x14ac:dyDescent="0.25">
      <c r="A17" s="21">
        <v>44518</v>
      </c>
      <c r="B17" s="22" t="s">
        <v>31</v>
      </c>
      <c r="C17" s="22" t="s">
        <v>22</v>
      </c>
      <c r="D17" s="20">
        <v>4700.72</v>
      </c>
      <c r="E17" s="20">
        <v>4708.8</v>
      </c>
      <c r="F17" s="20">
        <v>4672.78</v>
      </c>
      <c r="G17" s="20">
        <v>4704.54</v>
      </c>
      <c r="H17" s="20">
        <v>3335620000</v>
      </c>
      <c r="I17" s="20" t="str">
        <f>TRIM(C17)</f>
        <v>SP500</v>
      </c>
      <c r="J17" s="20" t="s">
        <v>19</v>
      </c>
    </row>
    <row r="18" spans="1:10" x14ac:dyDescent="0.25">
      <c r="A18" s="21">
        <v>44509</v>
      </c>
      <c r="B18" s="22" t="s">
        <v>31</v>
      </c>
      <c r="C18" s="22" t="s">
        <v>22</v>
      </c>
      <c r="D18" s="20">
        <v>4707.25</v>
      </c>
      <c r="E18" s="20">
        <v>4708.53</v>
      </c>
      <c r="F18" s="20">
        <v>4670.87</v>
      </c>
      <c r="G18" s="20">
        <v>4685.25</v>
      </c>
      <c r="H18" s="20">
        <v>3110230000</v>
      </c>
      <c r="I18" s="20" t="str">
        <f>TRIM(C18)</f>
        <v>SP500</v>
      </c>
      <c r="J18" s="20" t="s">
        <v>19</v>
      </c>
    </row>
    <row r="19" spans="1:10" x14ac:dyDescent="0.25">
      <c r="A19" s="21">
        <v>44538</v>
      </c>
      <c r="B19" s="22" t="s">
        <v>32</v>
      </c>
      <c r="C19" s="22" t="s">
        <v>22</v>
      </c>
      <c r="D19" s="20">
        <v>4690.8599999999997</v>
      </c>
      <c r="E19" s="20">
        <v>4705.0600000000004</v>
      </c>
      <c r="F19" s="20">
        <v>4674.5200000000004</v>
      </c>
      <c r="G19" s="20">
        <v>4701.21</v>
      </c>
      <c r="H19" s="20">
        <v>3061550000</v>
      </c>
      <c r="I19" s="20" t="str">
        <f>TRIM(C19)</f>
        <v>SP500</v>
      </c>
      <c r="J19" s="20" t="s">
        <v>20</v>
      </c>
    </row>
    <row r="20" spans="1:10" x14ac:dyDescent="0.25">
      <c r="A20" s="21">
        <v>44524</v>
      </c>
      <c r="B20" s="22" t="s">
        <v>31</v>
      </c>
      <c r="C20" s="22" t="s">
        <v>22</v>
      </c>
      <c r="D20" s="20">
        <v>4675.78</v>
      </c>
      <c r="E20" s="20">
        <v>4702.87</v>
      </c>
      <c r="F20" s="20">
        <v>4659.8900000000003</v>
      </c>
      <c r="G20" s="20">
        <v>4701.46</v>
      </c>
      <c r="H20" s="20">
        <v>2464040000</v>
      </c>
      <c r="I20" s="20" t="str">
        <f>TRIM(C20)</f>
        <v>SP500</v>
      </c>
      <c r="J20" s="20" t="s">
        <v>19</v>
      </c>
    </row>
    <row r="21" spans="1:10" x14ac:dyDescent="0.25">
      <c r="A21" s="21">
        <v>44517</v>
      </c>
      <c r="B21" s="22" t="s">
        <v>31</v>
      </c>
      <c r="C21" s="22" t="s">
        <v>22</v>
      </c>
      <c r="D21" s="20">
        <v>4701.5</v>
      </c>
      <c r="E21" s="20">
        <v>4701.5</v>
      </c>
      <c r="F21" s="20">
        <v>4684.41</v>
      </c>
      <c r="G21" s="20">
        <v>4688.67</v>
      </c>
      <c r="H21" s="20">
        <v>3221250000</v>
      </c>
      <c r="I21" s="20" t="str">
        <f>TRIM(C21)</f>
        <v>SP500</v>
      </c>
      <c r="J21" s="20" t="s">
        <v>19</v>
      </c>
    </row>
    <row r="22" spans="1:10" x14ac:dyDescent="0.25">
      <c r="A22" s="21">
        <v>44523</v>
      </c>
      <c r="B22" s="22" t="s">
        <v>31</v>
      </c>
      <c r="C22" s="22" t="s">
        <v>22</v>
      </c>
      <c r="D22" s="20">
        <v>4678.4799999999996</v>
      </c>
      <c r="E22" s="20">
        <v>4699.3900000000003</v>
      </c>
      <c r="F22" s="20">
        <v>4652.66</v>
      </c>
      <c r="G22" s="20">
        <v>4690.7</v>
      </c>
      <c r="H22" s="20">
        <v>3428780000</v>
      </c>
      <c r="I22" s="20" t="str">
        <f>TRIM(C22)</f>
        <v>SP500</v>
      </c>
      <c r="J22" s="20" t="s">
        <v>19</v>
      </c>
    </row>
    <row r="23" spans="1:10" x14ac:dyDescent="0.25">
      <c r="A23" s="21">
        <v>44552</v>
      </c>
      <c r="B23" s="22" t="s">
        <v>32</v>
      </c>
      <c r="C23" s="22" t="s">
        <v>22</v>
      </c>
      <c r="D23" s="20">
        <v>4650.3599999999997</v>
      </c>
      <c r="E23" s="20">
        <v>4697.67</v>
      </c>
      <c r="F23" s="20">
        <v>4645.53</v>
      </c>
      <c r="G23" s="20">
        <v>4696.5600000000004</v>
      </c>
      <c r="H23" s="20">
        <v>2439570000</v>
      </c>
      <c r="I23" s="20" t="str">
        <f>TRIM(C23)</f>
        <v>SP500</v>
      </c>
      <c r="J23" s="20" t="s">
        <v>20</v>
      </c>
    </row>
    <row r="24" spans="1:10" x14ac:dyDescent="0.25">
      <c r="A24" s="21">
        <v>44515</v>
      </c>
      <c r="B24" s="22" t="s">
        <v>31</v>
      </c>
      <c r="C24" s="22" t="s">
        <v>22</v>
      </c>
      <c r="D24" s="20">
        <v>4689.3</v>
      </c>
      <c r="E24" s="20">
        <v>4697.42</v>
      </c>
      <c r="F24" s="20">
        <v>4672.8599999999997</v>
      </c>
      <c r="G24" s="20">
        <v>4682.8</v>
      </c>
      <c r="H24" s="20">
        <v>2618980000</v>
      </c>
      <c r="I24" s="20" t="str">
        <f>TRIM(C24)</f>
        <v>SP500</v>
      </c>
      <c r="J24" s="20" t="s">
        <v>19</v>
      </c>
    </row>
    <row r="25" spans="1:10" x14ac:dyDescent="0.25">
      <c r="A25" s="21">
        <v>44539</v>
      </c>
      <c r="B25" s="22" t="s">
        <v>32</v>
      </c>
      <c r="C25" s="22" t="s">
        <v>22</v>
      </c>
      <c r="D25" s="20">
        <v>4691</v>
      </c>
      <c r="E25" s="20">
        <v>4695.26</v>
      </c>
      <c r="F25" s="20">
        <v>4665.9799999999996</v>
      </c>
      <c r="G25" s="20">
        <v>4667.45</v>
      </c>
      <c r="H25" s="20">
        <v>2851660000</v>
      </c>
      <c r="I25" s="20" t="str">
        <f>TRIM(C25)</f>
        <v>SP500</v>
      </c>
      <c r="J25" s="20" t="s">
        <v>20</v>
      </c>
    </row>
    <row r="26" spans="1:10" x14ac:dyDescent="0.25">
      <c r="A26" s="21">
        <v>44537</v>
      </c>
      <c r="B26" s="22" t="s">
        <v>32</v>
      </c>
      <c r="C26" s="22" t="s">
        <v>22</v>
      </c>
      <c r="D26" s="20">
        <v>4631.97</v>
      </c>
      <c r="E26" s="20">
        <v>4694.04</v>
      </c>
      <c r="F26" s="20">
        <v>4631.97</v>
      </c>
      <c r="G26" s="20">
        <v>4686.75</v>
      </c>
      <c r="H26" s="20">
        <v>3334320000</v>
      </c>
      <c r="I26" s="20" t="str">
        <f>TRIM(C26)</f>
        <v>SP500</v>
      </c>
      <c r="J26" s="20" t="s">
        <v>20</v>
      </c>
    </row>
    <row r="27" spans="1:10" x14ac:dyDescent="0.25">
      <c r="A27" s="21">
        <v>44512</v>
      </c>
      <c r="B27" s="22" t="s">
        <v>31</v>
      </c>
      <c r="C27" s="22" t="s">
        <v>22</v>
      </c>
      <c r="D27" s="20">
        <v>4655.24</v>
      </c>
      <c r="E27" s="20">
        <v>4688.47</v>
      </c>
      <c r="F27" s="20">
        <v>4650.7700000000004</v>
      </c>
      <c r="G27" s="20">
        <v>4682.8500000000004</v>
      </c>
      <c r="H27" s="20">
        <v>2865790000</v>
      </c>
      <c r="I27" s="20" t="str">
        <f>TRIM(C27)</f>
        <v>SP500</v>
      </c>
      <c r="J27" s="20" t="s">
        <v>19</v>
      </c>
    </row>
    <row r="28" spans="1:10" x14ac:dyDescent="0.25">
      <c r="A28" s="21">
        <v>44510</v>
      </c>
      <c r="B28" s="22" t="s">
        <v>31</v>
      </c>
      <c r="C28" s="22" t="s">
        <v>22</v>
      </c>
      <c r="D28" s="20">
        <v>4670.26</v>
      </c>
      <c r="E28" s="20">
        <v>4684.8500000000004</v>
      </c>
      <c r="F28" s="20">
        <v>4630.8599999999997</v>
      </c>
      <c r="G28" s="20">
        <v>4646.71</v>
      </c>
      <c r="H28" s="20">
        <v>3581630000</v>
      </c>
      <c r="I28" s="20" t="str">
        <f>TRIM(C28)</f>
        <v>SP500</v>
      </c>
      <c r="J28" s="20" t="s">
        <v>19</v>
      </c>
    </row>
    <row r="29" spans="1:10" x14ac:dyDescent="0.25">
      <c r="A29" s="21">
        <v>44504</v>
      </c>
      <c r="B29" s="22" t="s">
        <v>31</v>
      </c>
      <c r="C29" s="22" t="s">
        <v>22</v>
      </c>
      <c r="D29" s="20">
        <v>4662.93</v>
      </c>
      <c r="E29" s="20">
        <v>4683</v>
      </c>
      <c r="F29" s="20">
        <v>4662.59</v>
      </c>
      <c r="G29" s="20">
        <v>4680.0600000000004</v>
      </c>
      <c r="H29" s="20">
        <v>3332940000</v>
      </c>
      <c r="I29" s="20" t="str">
        <f>TRIM(C29)</f>
        <v>SP500</v>
      </c>
      <c r="J29" s="20" t="s">
        <v>19</v>
      </c>
    </row>
    <row r="30" spans="1:10" x14ac:dyDescent="0.25">
      <c r="A30" s="21">
        <v>44529</v>
      </c>
      <c r="B30" s="22" t="s">
        <v>31</v>
      </c>
      <c r="C30" s="22" t="s">
        <v>22</v>
      </c>
      <c r="D30" s="20">
        <v>4628.75</v>
      </c>
      <c r="E30" s="20">
        <v>4672.95</v>
      </c>
      <c r="F30" s="20">
        <v>4625.26</v>
      </c>
      <c r="G30" s="20">
        <v>4655.2700000000004</v>
      </c>
      <c r="H30" s="20">
        <v>3471380000</v>
      </c>
      <c r="I30" s="20" t="str">
        <f>TRIM(C30)</f>
        <v>SP500</v>
      </c>
      <c r="J30" s="20" t="s">
        <v>19</v>
      </c>
    </row>
    <row r="31" spans="1:10" x14ac:dyDescent="0.25">
      <c r="A31" s="21">
        <v>44547</v>
      </c>
      <c r="B31" s="22" t="s">
        <v>32</v>
      </c>
      <c r="C31" s="22" t="s">
        <v>22</v>
      </c>
      <c r="D31" s="20">
        <v>4652.5</v>
      </c>
      <c r="E31" s="20">
        <v>4666.7</v>
      </c>
      <c r="F31" s="20">
        <v>4600.22</v>
      </c>
      <c r="G31" s="20">
        <v>4620.6400000000003</v>
      </c>
      <c r="H31" s="20">
        <v>5609780000</v>
      </c>
      <c r="I31" s="20" t="str">
        <f>TRIM(C31)</f>
        <v>SP500</v>
      </c>
      <c r="J31" s="20" t="s">
        <v>20</v>
      </c>
    </row>
    <row r="32" spans="1:10" x14ac:dyDescent="0.25">
      <c r="A32" s="21">
        <v>44526</v>
      </c>
      <c r="B32" s="22" t="s">
        <v>31</v>
      </c>
      <c r="C32" s="22" t="s">
        <v>22</v>
      </c>
      <c r="D32" s="20">
        <v>4664.63</v>
      </c>
      <c r="E32" s="20">
        <v>4664.63</v>
      </c>
      <c r="F32" s="20">
        <v>4585.43</v>
      </c>
      <c r="G32" s="20">
        <v>4594.62</v>
      </c>
      <c r="H32" s="20">
        <v>2676740000</v>
      </c>
      <c r="I32" s="20" t="str">
        <f>TRIM(C32)</f>
        <v>SP500</v>
      </c>
      <c r="J32" s="20" t="s">
        <v>19</v>
      </c>
    </row>
    <row r="33" spans="1:10" x14ac:dyDescent="0.25">
      <c r="A33" s="21">
        <v>44511</v>
      </c>
      <c r="B33" s="22" t="s">
        <v>31</v>
      </c>
      <c r="C33" s="22" t="s">
        <v>22</v>
      </c>
      <c r="D33" s="20">
        <v>4659.3900000000003</v>
      </c>
      <c r="E33" s="20">
        <v>4664.55</v>
      </c>
      <c r="F33" s="20">
        <v>4648.3100000000004</v>
      </c>
      <c r="G33" s="20">
        <v>4649.2700000000004</v>
      </c>
      <c r="H33" s="20">
        <v>2623140000</v>
      </c>
      <c r="I33" s="20" t="str">
        <f>TRIM(C33)</f>
        <v>SP500</v>
      </c>
      <c r="J33" s="20" t="s">
        <v>19</v>
      </c>
    </row>
    <row r="34" spans="1:10" x14ac:dyDescent="0.25">
      <c r="A34" s="21">
        <v>44503</v>
      </c>
      <c r="B34" s="22" t="s">
        <v>31</v>
      </c>
      <c r="C34" s="22" t="s">
        <v>22</v>
      </c>
      <c r="D34" s="20">
        <v>4630.6499999999996</v>
      </c>
      <c r="E34" s="20">
        <v>4663.46</v>
      </c>
      <c r="F34" s="20">
        <v>4621.1899999999996</v>
      </c>
      <c r="G34" s="20">
        <v>4660.57</v>
      </c>
      <c r="H34" s="20">
        <v>3339440000</v>
      </c>
      <c r="I34" s="20" t="str">
        <f>TRIM(C34)</f>
        <v>SP500</v>
      </c>
      <c r="J34" s="20" t="s">
        <v>19</v>
      </c>
    </row>
    <row r="35" spans="1:10" x14ac:dyDescent="0.25">
      <c r="A35" s="21">
        <v>44544</v>
      </c>
      <c r="B35" s="22" t="s">
        <v>32</v>
      </c>
      <c r="C35" s="22" t="s">
        <v>22</v>
      </c>
      <c r="D35" s="20">
        <v>4642.99</v>
      </c>
      <c r="E35" s="20">
        <v>4660.47</v>
      </c>
      <c r="F35" s="20">
        <v>4606.5200000000004</v>
      </c>
      <c r="G35" s="20">
        <v>4634.09</v>
      </c>
      <c r="H35" s="20">
        <v>3292740000</v>
      </c>
      <c r="I35" s="20" t="str">
        <f>TRIM(C35)</f>
        <v>SP500</v>
      </c>
      <c r="J35" s="20" t="s">
        <v>20</v>
      </c>
    </row>
    <row r="36" spans="1:10" x14ac:dyDescent="0.25">
      <c r="A36" s="21">
        <v>44531</v>
      </c>
      <c r="B36" s="22" t="s">
        <v>32</v>
      </c>
      <c r="C36" s="22" t="s">
        <v>22</v>
      </c>
      <c r="D36" s="20">
        <v>4602.82</v>
      </c>
      <c r="E36" s="20">
        <v>4652.9399999999996</v>
      </c>
      <c r="F36" s="20">
        <v>4510.2700000000004</v>
      </c>
      <c r="G36" s="20">
        <v>4513.04</v>
      </c>
      <c r="H36" s="20">
        <v>4078260000</v>
      </c>
      <c r="I36" s="20" t="str">
        <f>TRIM(C36)</f>
        <v>SP500</v>
      </c>
      <c r="J36" s="20" t="s">
        <v>20</v>
      </c>
    </row>
    <row r="37" spans="1:10" x14ac:dyDescent="0.25">
      <c r="A37" s="21">
        <v>44551</v>
      </c>
      <c r="B37" s="22" t="s">
        <v>32</v>
      </c>
      <c r="C37" s="22" t="s">
        <v>22</v>
      </c>
      <c r="D37" s="20">
        <v>4594.96</v>
      </c>
      <c r="E37" s="20">
        <v>4651.1400000000003</v>
      </c>
      <c r="F37" s="20">
        <v>4583.16</v>
      </c>
      <c r="G37" s="20">
        <v>4649.2299999999996</v>
      </c>
      <c r="H37" s="20">
        <v>2564370000</v>
      </c>
      <c r="I37" s="20" t="str">
        <f>TRIM(C37)</f>
        <v>SP500</v>
      </c>
      <c r="J37" s="20" t="s">
        <v>20</v>
      </c>
    </row>
    <row r="38" spans="1:10" x14ac:dyDescent="0.25">
      <c r="A38" s="21">
        <v>44530</v>
      </c>
      <c r="B38" s="22" t="s">
        <v>31</v>
      </c>
      <c r="C38" s="22" t="s">
        <v>22</v>
      </c>
      <c r="D38" s="20">
        <v>4640.25</v>
      </c>
      <c r="E38" s="20">
        <v>4646.0200000000004</v>
      </c>
      <c r="F38" s="20">
        <v>4560</v>
      </c>
      <c r="G38" s="20">
        <v>4567</v>
      </c>
      <c r="H38" s="20">
        <v>4950190000</v>
      </c>
      <c r="I38" s="20" t="str">
        <f>TRIM(C38)</f>
        <v>SP500</v>
      </c>
      <c r="J38" s="20" t="s">
        <v>19</v>
      </c>
    </row>
    <row r="39" spans="1:10" x14ac:dyDescent="0.25">
      <c r="A39" s="21">
        <v>44502</v>
      </c>
      <c r="B39" s="22" t="s">
        <v>31</v>
      </c>
      <c r="C39" s="22" t="s">
        <v>22</v>
      </c>
      <c r="D39" s="20">
        <v>4613.34</v>
      </c>
      <c r="E39" s="20">
        <v>4635.1499999999996</v>
      </c>
      <c r="F39" s="20">
        <v>4613.34</v>
      </c>
      <c r="G39" s="20">
        <v>4630.6499999999996</v>
      </c>
      <c r="H39" s="20">
        <v>3309690000</v>
      </c>
      <c r="I39" s="20" t="str">
        <f>TRIM(C39)</f>
        <v>SP500</v>
      </c>
      <c r="J39" s="20" t="s">
        <v>19</v>
      </c>
    </row>
    <row r="40" spans="1:10" x14ac:dyDescent="0.25">
      <c r="A40" s="21">
        <v>44501</v>
      </c>
      <c r="B40" s="22" t="s">
        <v>31</v>
      </c>
      <c r="C40" s="22" t="s">
        <v>22</v>
      </c>
      <c r="D40" s="20">
        <v>4610.62</v>
      </c>
      <c r="E40" s="20">
        <v>4620.34</v>
      </c>
      <c r="F40" s="20">
        <v>4595.0600000000004</v>
      </c>
      <c r="G40" s="20">
        <v>4613.67</v>
      </c>
      <c r="H40" s="20">
        <v>2924000000</v>
      </c>
      <c r="I40" s="20" t="str">
        <f>TRIM(C40)</f>
        <v>SP500</v>
      </c>
      <c r="J40" s="20" t="s">
        <v>19</v>
      </c>
    </row>
    <row r="41" spans="1:10" x14ac:dyDescent="0.25">
      <c r="A41" s="21">
        <v>44536</v>
      </c>
      <c r="B41" s="22" t="s">
        <v>32</v>
      </c>
      <c r="C41" s="22" t="s">
        <v>22</v>
      </c>
      <c r="D41" s="20">
        <v>4548.37</v>
      </c>
      <c r="E41" s="20">
        <v>4612.6000000000004</v>
      </c>
      <c r="F41" s="20">
        <v>4540.51</v>
      </c>
      <c r="G41" s="20">
        <v>4591.67</v>
      </c>
      <c r="H41" s="20">
        <v>3305690000</v>
      </c>
      <c r="I41" s="20" t="str">
        <f>TRIM(C41)</f>
        <v>SP500</v>
      </c>
      <c r="J41" s="20" t="s">
        <v>20</v>
      </c>
    </row>
    <row r="42" spans="1:10" x14ac:dyDescent="0.25">
      <c r="A42" s="21">
        <v>44498</v>
      </c>
      <c r="B42" s="22" t="s">
        <v>30</v>
      </c>
      <c r="C42" s="22" t="s">
        <v>22</v>
      </c>
      <c r="D42" s="20">
        <v>4572.87</v>
      </c>
      <c r="E42" s="20">
        <v>4608.08</v>
      </c>
      <c r="F42" s="20">
        <v>4567.59</v>
      </c>
      <c r="G42" s="20">
        <v>4605.38</v>
      </c>
      <c r="H42" s="20">
        <v>3632260000</v>
      </c>
      <c r="I42" s="20" t="str">
        <f>TRIM(C42)</f>
        <v>SP500</v>
      </c>
      <c r="J42" s="20" t="s">
        <v>18</v>
      </c>
    </row>
    <row r="43" spans="1:10" x14ac:dyDescent="0.25">
      <c r="A43" s="21">
        <v>44533</v>
      </c>
      <c r="B43" s="22" t="s">
        <v>32</v>
      </c>
      <c r="C43" s="22" t="s">
        <v>22</v>
      </c>
      <c r="D43" s="20">
        <v>4589.49</v>
      </c>
      <c r="E43" s="20">
        <v>4608.03</v>
      </c>
      <c r="F43" s="20">
        <v>4495.12</v>
      </c>
      <c r="G43" s="20">
        <v>4538.43</v>
      </c>
      <c r="H43" s="20">
        <v>3971500000</v>
      </c>
      <c r="I43" s="20" t="str">
        <f>TRIM(C43)</f>
        <v>SP500</v>
      </c>
      <c r="J43" s="20" t="s">
        <v>20</v>
      </c>
    </row>
    <row r="44" spans="1:10" x14ac:dyDescent="0.25">
      <c r="A44" s="21">
        <v>44495</v>
      </c>
      <c r="B44" s="22" t="s">
        <v>30</v>
      </c>
      <c r="C44" s="22" t="s">
        <v>22</v>
      </c>
      <c r="D44" s="20">
        <v>4578.6899999999996</v>
      </c>
      <c r="E44" s="20">
        <v>4598.53</v>
      </c>
      <c r="F44" s="20">
        <v>4569.17</v>
      </c>
      <c r="G44" s="20">
        <v>4574.79</v>
      </c>
      <c r="H44" s="20">
        <v>2866500000</v>
      </c>
      <c r="I44" s="20" t="str">
        <f>TRIM(C44)</f>
        <v>SP500</v>
      </c>
      <c r="J44" s="20" t="s">
        <v>18</v>
      </c>
    </row>
    <row r="45" spans="1:10" x14ac:dyDescent="0.25">
      <c r="A45" s="21">
        <v>44497</v>
      </c>
      <c r="B45" s="22" t="s">
        <v>30</v>
      </c>
      <c r="C45" s="22" t="s">
        <v>22</v>
      </c>
      <c r="D45" s="20">
        <v>4562.84</v>
      </c>
      <c r="E45" s="20">
        <v>4597.55</v>
      </c>
      <c r="F45" s="20">
        <v>4562.84</v>
      </c>
      <c r="G45" s="20">
        <v>4596.42</v>
      </c>
      <c r="H45" s="20">
        <v>3197560000</v>
      </c>
      <c r="I45" s="20" t="str">
        <f>TRIM(C45)</f>
        <v>SP500</v>
      </c>
      <c r="J45" s="20" t="s">
        <v>18</v>
      </c>
    </row>
    <row r="46" spans="1:10" x14ac:dyDescent="0.25">
      <c r="A46" s="21">
        <v>44532</v>
      </c>
      <c r="B46" s="22" t="s">
        <v>32</v>
      </c>
      <c r="C46" s="22" t="s">
        <v>22</v>
      </c>
      <c r="D46" s="20">
        <v>4504.7299999999996</v>
      </c>
      <c r="E46" s="20">
        <v>4595.46</v>
      </c>
      <c r="F46" s="20">
        <v>4504.7299999999996</v>
      </c>
      <c r="G46" s="20">
        <v>4577.1000000000004</v>
      </c>
      <c r="H46" s="20">
        <v>3771510000</v>
      </c>
      <c r="I46" s="20" t="str">
        <f>TRIM(C46)</f>
        <v>SP500</v>
      </c>
      <c r="J46" s="20" t="s">
        <v>20</v>
      </c>
    </row>
    <row r="47" spans="1:10" x14ac:dyDescent="0.25">
      <c r="A47" s="21">
        <v>44550</v>
      </c>
      <c r="B47" s="22" t="s">
        <v>32</v>
      </c>
      <c r="C47" s="22" t="s">
        <v>22</v>
      </c>
      <c r="D47" s="20">
        <v>4587.8999999999996</v>
      </c>
      <c r="E47" s="20">
        <v>4587.8999999999996</v>
      </c>
      <c r="F47" s="20">
        <v>4531.1000000000004</v>
      </c>
      <c r="G47" s="20">
        <v>4568.0200000000004</v>
      </c>
      <c r="H47" s="20">
        <v>3395780000</v>
      </c>
      <c r="I47" s="20" t="str">
        <f>TRIM(C47)</f>
        <v>SP500</v>
      </c>
      <c r="J47" s="20" t="s">
        <v>20</v>
      </c>
    </row>
    <row r="48" spans="1:10" x14ac:dyDescent="0.25">
      <c r="A48" s="21">
        <v>44496</v>
      </c>
      <c r="B48" s="22" t="s">
        <v>30</v>
      </c>
      <c r="C48" s="22" t="s">
        <v>22</v>
      </c>
      <c r="D48" s="20">
        <v>4580.22</v>
      </c>
      <c r="E48" s="20">
        <v>4584.57</v>
      </c>
      <c r="F48" s="20">
        <v>4551.66</v>
      </c>
      <c r="G48" s="20">
        <v>4551.68</v>
      </c>
      <c r="H48" s="20">
        <v>3259510000</v>
      </c>
      <c r="I48" s="20" t="str">
        <f>TRIM(C48)</f>
        <v>SP500</v>
      </c>
      <c r="J48" s="20" t="s">
        <v>18</v>
      </c>
    </row>
    <row r="49" spans="1:10" x14ac:dyDescent="0.25">
      <c r="A49" s="21">
        <v>44494</v>
      </c>
      <c r="B49" s="22" t="s">
        <v>30</v>
      </c>
      <c r="C49" s="22" t="s">
        <v>22</v>
      </c>
      <c r="D49" s="20">
        <v>4553.6899999999996</v>
      </c>
      <c r="E49" s="20">
        <v>4572.62</v>
      </c>
      <c r="F49" s="20">
        <v>4537.3599999999997</v>
      </c>
      <c r="G49" s="20">
        <v>4566.4799999999996</v>
      </c>
      <c r="H49" s="20">
        <v>3250210000</v>
      </c>
      <c r="I49" s="20" t="str">
        <f>TRIM(C49)</f>
        <v>SP500</v>
      </c>
      <c r="J49" s="20" t="s">
        <v>18</v>
      </c>
    </row>
    <row r="50" spans="1:10" x14ac:dyDescent="0.25">
      <c r="A50" s="21">
        <v>44491</v>
      </c>
      <c r="B50" s="22" t="s">
        <v>30</v>
      </c>
      <c r="C50" s="22" t="s">
        <v>22</v>
      </c>
      <c r="D50" s="20">
        <v>4546.12</v>
      </c>
      <c r="E50" s="20">
        <v>4559.67</v>
      </c>
      <c r="F50" s="20">
        <v>4524</v>
      </c>
      <c r="G50" s="20">
        <v>4544.8999999999996</v>
      </c>
      <c r="H50" s="20">
        <v>3062810000</v>
      </c>
      <c r="I50" s="20" t="str">
        <f>TRIM(C50)</f>
        <v>SP500</v>
      </c>
      <c r="J50" s="20" t="s">
        <v>18</v>
      </c>
    </row>
    <row r="51" spans="1:10" x14ac:dyDescent="0.25">
      <c r="A51" s="21">
        <v>44490</v>
      </c>
      <c r="B51" s="22" t="s">
        <v>30</v>
      </c>
      <c r="C51" s="22" t="s">
        <v>22</v>
      </c>
      <c r="D51" s="20">
        <v>4532.24</v>
      </c>
      <c r="E51" s="20">
        <v>4551.4399999999996</v>
      </c>
      <c r="F51" s="20">
        <v>4526.8900000000003</v>
      </c>
      <c r="G51" s="20">
        <v>4549.78</v>
      </c>
      <c r="H51" s="20">
        <v>3016950000</v>
      </c>
      <c r="I51" s="20" t="str">
        <f>TRIM(C51)</f>
        <v>SP500</v>
      </c>
      <c r="J51" s="20" t="s">
        <v>18</v>
      </c>
    </row>
    <row r="52" spans="1:10" x14ac:dyDescent="0.25">
      <c r="A52" s="21">
        <v>44441</v>
      </c>
      <c r="B52" s="22" t="s">
        <v>29</v>
      </c>
      <c r="C52" s="22" t="s">
        <v>22</v>
      </c>
      <c r="D52" s="20">
        <v>4534.4799999999996</v>
      </c>
      <c r="E52" s="20">
        <v>4545.8500000000004</v>
      </c>
      <c r="F52" s="20">
        <v>4524.66</v>
      </c>
      <c r="G52" s="20">
        <v>4536.95</v>
      </c>
      <c r="H52" s="20">
        <v>2897010000</v>
      </c>
      <c r="I52" s="20" t="str">
        <f>TRIM(C52)</f>
        <v>SP500</v>
      </c>
      <c r="J52" s="20" t="s">
        <v>17</v>
      </c>
    </row>
    <row r="53" spans="1:10" x14ac:dyDescent="0.25">
      <c r="A53" s="21">
        <v>44442</v>
      </c>
      <c r="B53" s="22" t="s">
        <v>29</v>
      </c>
      <c r="C53" s="22" t="s">
        <v>22</v>
      </c>
      <c r="D53" s="20">
        <v>4532.42</v>
      </c>
      <c r="E53" s="20">
        <v>4541.45</v>
      </c>
      <c r="F53" s="20">
        <v>4521.3</v>
      </c>
      <c r="G53" s="20">
        <v>4535.43</v>
      </c>
      <c r="H53" s="20">
        <v>2609660000</v>
      </c>
      <c r="I53" s="20" t="str">
        <f>TRIM(C53)</f>
        <v>SP500</v>
      </c>
      <c r="J53" s="20" t="s">
        <v>17</v>
      </c>
    </row>
    <row r="54" spans="1:10" x14ac:dyDescent="0.25">
      <c r="A54" s="21">
        <v>44489</v>
      </c>
      <c r="B54" s="22" t="s">
        <v>30</v>
      </c>
      <c r="C54" s="22" t="s">
        <v>22</v>
      </c>
      <c r="D54" s="20">
        <v>4524.42</v>
      </c>
      <c r="E54" s="20">
        <v>4540.87</v>
      </c>
      <c r="F54" s="20">
        <v>4524.3999999999996</v>
      </c>
      <c r="G54" s="20">
        <v>4536.1899999999996</v>
      </c>
      <c r="H54" s="20">
        <v>2671560000</v>
      </c>
      <c r="I54" s="20" t="str">
        <f>TRIM(C54)</f>
        <v>SP500</v>
      </c>
      <c r="J54" s="20" t="s">
        <v>18</v>
      </c>
    </row>
    <row r="55" spans="1:10" x14ac:dyDescent="0.25">
      <c r="A55" s="21">
        <v>44438</v>
      </c>
      <c r="B55" s="22" t="s">
        <v>28</v>
      </c>
      <c r="C55" s="22" t="s">
        <v>22</v>
      </c>
      <c r="D55" s="20">
        <v>4513.76</v>
      </c>
      <c r="E55" s="20">
        <v>4537.3599999999997</v>
      </c>
      <c r="F55" s="20">
        <v>4513.76</v>
      </c>
      <c r="G55" s="20">
        <v>4528.79</v>
      </c>
      <c r="H55" s="20">
        <v>2557300000</v>
      </c>
      <c r="I55" s="20" t="str">
        <f>TRIM(C55)</f>
        <v>SP500</v>
      </c>
      <c r="J55" s="20" t="s">
        <v>16</v>
      </c>
    </row>
    <row r="56" spans="1:10" x14ac:dyDescent="0.25">
      <c r="A56" s="21">
        <v>44440</v>
      </c>
      <c r="B56" s="22" t="s">
        <v>29</v>
      </c>
      <c r="C56" s="22" t="s">
        <v>22</v>
      </c>
      <c r="D56" s="20">
        <v>4528.8</v>
      </c>
      <c r="E56" s="20">
        <v>4537.1099999999997</v>
      </c>
      <c r="F56" s="20">
        <v>4522.0200000000004</v>
      </c>
      <c r="G56" s="20">
        <v>4524.09</v>
      </c>
      <c r="H56" s="20">
        <v>3101830000</v>
      </c>
      <c r="I56" s="20" t="str">
        <f>TRIM(C56)</f>
        <v>SP500</v>
      </c>
      <c r="J56" s="20" t="s">
        <v>17</v>
      </c>
    </row>
    <row r="57" spans="1:10" x14ac:dyDescent="0.25">
      <c r="A57" s="21">
        <v>44446</v>
      </c>
      <c r="B57" s="22" t="s">
        <v>29</v>
      </c>
      <c r="C57" s="22" t="s">
        <v>22</v>
      </c>
      <c r="D57" s="20">
        <v>4535.38</v>
      </c>
      <c r="E57" s="20">
        <v>4535.38</v>
      </c>
      <c r="F57" s="20">
        <v>4513</v>
      </c>
      <c r="G57" s="20">
        <v>4520.03</v>
      </c>
      <c r="H57" s="20">
        <v>3098870000</v>
      </c>
      <c r="I57" s="20" t="str">
        <f>TRIM(C57)</f>
        <v>SP500</v>
      </c>
      <c r="J57" s="20" t="s">
        <v>17</v>
      </c>
    </row>
    <row r="58" spans="1:10" x14ac:dyDescent="0.25">
      <c r="A58" s="21">
        <v>44439</v>
      </c>
      <c r="B58" s="22" t="s">
        <v>28</v>
      </c>
      <c r="C58" s="22" t="s">
        <v>22</v>
      </c>
      <c r="D58" s="20">
        <v>4529.75</v>
      </c>
      <c r="E58" s="20">
        <v>4531.3900000000003</v>
      </c>
      <c r="F58" s="20">
        <v>4515.8</v>
      </c>
      <c r="G58" s="20">
        <v>4522.68</v>
      </c>
      <c r="H58" s="20">
        <v>3090380000</v>
      </c>
      <c r="I58" s="20" t="str">
        <f>TRIM(C58)</f>
        <v>SP500</v>
      </c>
      <c r="J58" s="20" t="s">
        <v>16</v>
      </c>
    </row>
    <row r="59" spans="1:10" x14ac:dyDescent="0.25">
      <c r="A59" s="21">
        <v>44448</v>
      </c>
      <c r="B59" s="22" t="s">
        <v>29</v>
      </c>
      <c r="C59" s="22" t="s">
        <v>22</v>
      </c>
      <c r="D59" s="20">
        <v>4513.0200000000004</v>
      </c>
      <c r="E59" s="20">
        <v>4529.8999999999996</v>
      </c>
      <c r="F59" s="20">
        <v>4492.07</v>
      </c>
      <c r="G59" s="20">
        <v>4493.28</v>
      </c>
      <c r="H59" s="20">
        <v>3035300000</v>
      </c>
      <c r="I59" s="20" t="str">
        <f>TRIM(C59)</f>
        <v>SP500</v>
      </c>
      <c r="J59" s="20" t="s">
        <v>17</v>
      </c>
    </row>
    <row r="60" spans="1:10" x14ac:dyDescent="0.25">
      <c r="A60" s="21">
        <v>44447</v>
      </c>
      <c r="B60" s="22" t="s">
        <v>29</v>
      </c>
      <c r="C60" s="22" t="s">
        <v>22</v>
      </c>
      <c r="D60" s="20">
        <v>4518.09</v>
      </c>
      <c r="E60" s="20">
        <v>4521.79</v>
      </c>
      <c r="F60" s="20">
        <v>4493.95</v>
      </c>
      <c r="G60" s="20">
        <v>4514.07</v>
      </c>
      <c r="H60" s="20">
        <v>2808480000</v>
      </c>
      <c r="I60" s="20" t="str">
        <f>TRIM(C60)</f>
        <v>SP500</v>
      </c>
      <c r="J60" s="20" t="s">
        <v>17</v>
      </c>
    </row>
    <row r="61" spans="1:10" x14ac:dyDescent="0.25">
      <c r="A61" s="21">
        <v>44449</v>
      </c>
      <c r="B61" s="22" t="s">
        <v>29</v>
      </c>
      <c r="C61" s="22" t="s">
        <v>22</v>
      </c>
      <c r="D61" s="20">
        <v>4506.92</v>
      </c>
      <c r="E61" s="20">
        <v>4520.47</v>
      </c>
      <c r="F61" s="20">
        <v>4457.66</v>
      </c>
      <c r="G61" s="20">
        <v>4458.58</v>
      </c>
      <c r="H61" s="20">
        <v>2851140000</v>
      </c>
      <c r="I61" s="20" t="str">
        <f>TRIM(C61)</f>
        <v>SP500</v>
      </c>
      <c r="J61" s="20" t="s">
        <v>17</v>
      </c>
    </row>
    <row r="62" spans="1:10" x14ac:dyDescent="0.25">
      <c r="A62" s="21">
        <v>44488</v>
      </c>
      <c r="B62" s="22" t="s">
        <v>30</v>
      </c>
      <c r="C62" s="22" t="s">
        <v>22</v>
      </c>
      <c r="D62" s="20">
        <v>4497.34</v>
      </c>
      <c r="E62" s="20">
        <v>4520.3999999999996</v>
      </c>
      <c r="F62" s="20">
        <v>4496.41</v>
      </c>
      <c r="G62" s="20">
        <v>4519.63</v>
      </c>
      <c r="H62" s="20">
        <v>2531210000</v>
      </c>
      <c r="I62" s="20" t="str">
        <f>TRIM(C62)</f>
        <v>SP500</v>
      </c>
      <c r="J62" s="20" t="s">
        <v>18</v>
      </c>
    </row>
    <row r="63" spans="1:10" x14ac:dyDescent="0.25">
      <c r="A63" s="21">
        <v>44435</v>
      </c>
      <c r="B63" s="22" t="s">
        <v>28</v>
      </c>
      <c r="C63" s="22" t="s">
        <v>22</v>
      </c>
      <c r="D63" s="20">
        <v>4474.1000000000004</v>
      </c>
      <c r="E63" s="20">
        <v>4513.33</v>
      </c>
      <c r="F63" s="20">
        <v>4474.1000000000004</v>
      </c>
      <c r="G63" s="20">
        <v>4509.37</v>
      </c>
      <c r="H63" s="20">
        <v>2862360000</v>
      </c>
      <c r="I63" s="20" t="str">
        <f>TRIM(C63)</f>
        <v>SP500</v>
      </c>
      <c r="J63" s="20" t="s">
        <v>16</v>
      </c>
    </row>
    <row r="64" spans="1:10" x14ac:dyDescent="0.25">
      <c r="A64" s="21">
        <v>44433</v>
      </c>
      <c r="B64" s="22" t="s">
        <v>28</v>
      </c>
      <c r="C64" s="22" t="s">
        <v>22</v>
      </c>
      <c r="D64" s="20">
        <v>4490.45</v>
      </c>
      <c r="E64" s="20">
        <v>4501.71</v>
      </c>
      <c r="F64" s="20">
        <v>4485.66</v>
      </c>
      <c r="G64" s="20">
        <v>4496.1899999999996</v>
      </c>
      <c r="H64" s="20">
        <v>2554680000</v>
      </c>
      <c r="I64" s="20" t="str">
        <f>TRIM(C64)</f>
        <v>SP500</v>
      </c>
      <c r="J64" s="20" t="s">
        <v>16</v>
      </c>
    </row>
    <row r="65" spans="1:10" x14ac:dyDescent="0.25">
      <c r="A65" s="21">
        <v>44434</v>
      </c>
      <c r="B65" s="22" t="s">
        <v>28</v>
      </c>
      <c r="C65" s="22" t="s">
        <v>22</v>
      </c>
      <c r="D65" s="20">
        <v>4493.75</v>
      </c>
      <c r="E65" s="20">
        <v>4495.8999999999996</v>
      </c>
      <c r="F65" s="20">
        <v>4468.99</v>
      </c>
      <c r="G65" s="20">
        <v>4470</v>
      </c>
      <c r="H65" s="20">
        <v>2704600000</v>
      </c>
      <c r="I65" s="20" t="str">
        <f>TRIM(C65)</f>
        <v>SP500</v>
      </c>
      <c r="J65" s="20" t="s">
        <v>16</v>
      </c>
    </row>
    <row r="66" spans="1:10" x14ac:dyDescent="0.25">
      <c r="A66" s="21">
        <v>44452</v>
      </c>
      <c r="B66" s="22" t="s">
        <v>29</v>
      </c>
      <c r="C66" s="22" t="s">
        <v>22</v>
      </c>
      <c r="D66" s="20">
        <v>4474.8100000000004</v>
      </c>
      <c r="E66" s="20">
        <v>4492.99</v>
      </c>
      <c r="F66" s="20">
        <v>4445.7</v>
      </c>
      <c r="G66" s="20">
        <v>4468.7299999999996</v>
      </c>
      <c r="H66" s="20">
        <v>3096390000</v>
      </c>
      <c r="I66" s="20" t="str">
        <f>TRIM(C66)</f>
        <v>SP500</v>
      </c>
      <c r="J66" s="20" t="s">
        <v>17</v>
      </c>
    </row>
    <row r="67" spans="1:10" x14ac:dyDescent="0.25">
      <c r="A67" s="21">
        <v>44432</v>
      </c>
      <c r="B67" s="22" t="s">
        <v>28</v>
      </c>
      <c r="C67" s="22" t="s">
        <v>22</v>
      </c>
      <c r="D67" s="20">
        <v>4484.3999999999996</v>
      </c>
      <c r="E67" s="20">
        <v>4492.8100000000004</v>
      </c>
      <c r="F67" s="20">
        <v>4482.28</v>
      </c>
      <c r="G67" s="20">
        <v>4486.2299999999996</v>
      </c>
      <c r="H67" s="20">
        <v>3037770000</v>
      </c>
      <c r="I67" s="20" t="str">
        <f>TRIM(C67)</f>
        <v>SP500</v>
      </c>
      <c r="J67" s="20" t="s">
        <v>16</v>
      </c>
    </row>
    <row r="68" spans="1:10" x14ac:dyDescent="0.25">
      <c r="A68" s="21">
        <v>44431</v>
      </c>
      <c r="B68" s="22" t="s">
        <v>28</v>
      </c>
      <c r="C68" s="22" t="s">
        <v>22</v>
      </c>
      <c r="D68" s="20">
        <v>4450.29</v>
      </c>
      <c r="E68" s="20">
        <v>4489.88</v>
      </c>
      <c r="F68" s="20">
        <v>4450.29</v>
      </c>
      <c r="G68" s="20">
        <v>4479.53</v>
      </c>
      <c r="H68" s="20">
        <v>2965520000</v>
      </c>
      <c r="I68" s="20" t="str">
        <f>TRIM(C68)</f>
        <v>SP500</v>
      </c>
      <c r="J68" s="20" t="s">
        <v>16</v>
      </c>
    </row>
    <row r="69" spans="1:10" x14ac:dyDescent="0.25">
      <c r="A69" s="21">
        <v>44487</v>
      </c>
      <c r="B69" s="22" t="s">
        <v>30</v>
      </c>
      <c r="C69" s="22" t="s">
        <v>22</v>
      </c>
      <c r="D69" s="20">
        <v>4463.72</v>
      </c>
      <c r="E69" s="20">
        <v>4488.75</v>
      </c>
      <c r="F69" s="20">
        <v>4447.47</v>
      </c>
      <c r="G69" s="20">
        <v>4486.46</v>
      </c>
      <c r="H69" s="20">
        <v>2683540000</v>
      </c>
      <c r="I69" s="20" t="str">
        <f>TRIM(C69)</f>
        <v>SP500</v>
      </c>
      <c r="J69" s="20" t="s">
        <v>18</v>
      </c>
    </row>
    <row r="70" spans="1:10" x14ac:dyDescent="0.25">
      <c r="A70" s="21">
        <v>44454</v>
      </c>
      <c r="B70" s="22" t="s">
        <v>29</v>
      </c>
      <c r="C70" s="22" t="s">
        <v>22</v>
      </c>
      <c r="D70" s="20">
        <v>4447.49</v>
      </c>
      <c r="E70" s="20">
        <v>4486.87</v>
      </c>
      <c r="F70" s="20">
        <v>4438.37</v>
      </c>
      <c r="G70" s="20">
        <v>4480.7</v>
      </c>
      <c r="H70" s="20">
        <v>3154760000</v>
      </c>
      <c r="I70" s="20" t="str">
        <f>TRIM(C70)</f>
        <v>SP500</v>
      </c>
      <c r="J70" s="20" t="s">
        <v>17</v>
      </c>
    </row>
    <row r="71" spans="1:10" x14ac:dyDescent="0.25">
      <c r="A71" s="21">
        <v>44455</v>
      </c>
      <c r="B71" s="22" t="s">
        <v>29</v>
      </c>
      <c r="C71" s="22" t="s">
        <v>22</v>
      </c>
      <c r="D71" s="20">
        <v>4477.09</v>
      </c>
      <c r="E71" s="20">
        <v>4485.87</v>
      </c>
      <c r="F71" s="20">
        <v>4443.8</v>
      </c>
      <c r="G71" s="20">
        <v>4473.75</v>
      </c>
      <c r="H71" s="20">
        <v>3321030000</v>
      </c>
      <c r="I71" s="20" t="str">
        <f>TRIM(C71)</f>
        <v>SP500</v>
      </c>
      <c r="J71" s="20" t="s">
        <v>17</v>
      </c>
    </row>
    <row r="72" spans="1:10" x14ac:dyDescent="0.25">
      <c r="A72" s="21">
        <v>44453</v>
      </c>
      <c r="B72" s="22" t="s">
        <v>29</v>
      </c>
      <c r="C72" s="22" t="s">
        <v>22</v>
      </c>
      <c r="D72" s="20">
        <v>4479.33</v>
      </c>
      <c r="E72" s="20">
        <v>4485.68</v>
      </c>
      <c r="F72" s="20">
        <v>4435.46</v>
      </c>
      <c r="G72" s="20">
        <v>4443.05</v>
      </c>
      <c r="H72" s="20">
        <v>2568730000</v>
      </c>
      <c r="I72" s="20" t="str">
        <f>TRIM(C72)</f>
        <v>SP500</v>
      </c>
      <c r="J72" s="20" t="s">
        <v>17</v>
      </c>
    </row>
    <row r="73" spans="1:10" x14ac:dyDescent="0.25">
      <c r="A73" s="21">
        <v>44424</v>
      </c>
      <c r="B73" s="22" t="s">
        <v>28</v>
      </c>
      <c r="C73" s="22" t="s">
        <v>22</v>
      </c>
      <c r="D73" s="20">
        <v>4461.6499999999996</v>
      </c>
      <c r="E73" s="20">
        <v>4480.26</v>
      </c>
      <c r="F73" s="20">
        <v>4437.66</v>
      </c>
      <c r="G73" s="20">
        <v>4479.71</v>
      </c>
      <c r="H73" s="20">
        <v>2707170000</v>
      </c>
      <c r="I73" s="20" t="str">
        <f>TRIM(C73)</f>
        <v>SP500</v>
      </c>
      <c r="J73" s="20" t="s">
        <v>16</v>
      </c>
    </row>
    <row r="74" spans="1:10" x14ac:dyDescent="0.25">
      <c r="A74" s="21">
        <v>44484</v>
      </c>
      <c r="B74" s="22" t="s">
        <v>30</v>
      </c>
      <c r="C74" s="22" t="s">
        <v>22</v>
      </c>
      <c r="D74" s="20">
        <v>4447.6899999999996</v>
      </c>
      <c r="E74" s="20">
        <v>4475.82</v>
      </c>
      <c r="F74" s="20">
        <v>4447.6899999999996</v>
      </c>
      <c r="G74" s="20">
        <v>4471.37</v>
      </c>
      <c r="H74" s="20">
        <v>3000560000</v>
      </c>
      <c r="I74" s="20" t="str">
        <f>TRIM(C74)</f>
        <v>SP500</v>
      </c>
      <c r="J74" s="20" t="s">
        <v>18</v>
      </c>
    </row>
    <row r="75" spans="1:10" x14ac:dyDescent="0.25">
      <c r="A75" s="21">
        <v>44456</v>
      </c>
      <c r="B75" s="22" t="s">
        <v>29</v>
      </c>
      <c r="C75" s="22" t="s">
        <v>22</v>
      </c>
      <c r="D75" s="20">
        <v>4469.74</v>
      </c>
      <c r="E75" s="20">
        <v>4471.5200000000004</v>
      </c>
      <c r="F75" s="20">
        <v>4427.76</v>
      </c>
      <c r="G75" s="20">
        <v>4432.99</v>
      </c>
      <c r="H75" s="20">
        <v>5622210000</v>
      </c>
      <c r="I75" s="20" t="str">
        <f>TRIM(C75)</f>
        <v>SP500</v>
      </c>
      <c r="J75" s="20" t="s">
        <v>17</v>
      </c>
    </row>
    <row r="76" spans="1:10" x14ac:dyDescent="0.25">
      <c r="A76" s="21">
        <v>44421</v>
      </c>
      <c r="B76" s="22" t="s">
        <v>28</v>
      </c>
      <c r="C76" s="22" t="s">
        <v>22</v>
      </c>
      <c r="D76" s="20">
        <v>4464.84</v>
      </c>
      <c r="E76" s="20">
        <v>4468.37</v>
      </c>
      <c r="F76" s="20">
        <v>4460.82</v>
      </c>
      <c r="G76" s="20">
        <v>4468</v>
      </c>
      <c r="H76" s="20">
        <v>2371630000</v>
      </c>
      <c r="I76" s="20" t="str">
        <f>TRIM(C76)</f>
        <v>SP500</v>
      </c>
      <c r="J76" s="20" t="s">
        <v>16</v>
      </c>
    </row>
    <row r="77" spans="1:10" x14ac:dyDescent="0.25">
      <c r="A77" s="21">
        <v>44462</v>
      </c>
      <c r="B77" s="22" t="s">
        <v>29</v>
      </c>
      <c r="C77" s="22" t="s">
        <v>22</v>
      </c>
      <c r="D77" s="20">
        <v>4406.75</v>
      </c>
      <c r="E77" s="20">
        <v>4465.3999999999996</v>
      </c>
      <c r="F77" s="20">
        <v>4406.75</v>
      </c>
      <c r="G77" s="20">
        <v>4448.9799999999996</v>
      </c>
      <c r="H77" s="20">
        <v>2833290000</v>
      </c>
      <c r="I77" s="20" t="str">
        <f>TRIM(C77)</f>
        <v>SP500</v>
      </c>
      <c r="J77" s="20" t="s">
        <v>17</v>
      </c>
    </row>
    <row r="78" spans="1:10" x14ac:dyDescent="0.25">
      <c r="A78" s="21">
        <v>44463</v>
      </c>
      <c r="B78" s="22" t="s">
        <v>29</v>
      </c>
      <c r="C78" s="22" t="s">
        <v>22</v>
      </c>
      <c r="D78" s="20">
        <v>4438.04</v>
      </c>
      <c r="E78" s="20">
        <v>4463.12</v>
      </c>
      <c r="F78" s="20">
        <v>4430.2700000000004</v>
      </c>
      <c r="G78" s="20">
        <v>4455.4799999999996</v>
      </c>
      <c r="H78" s="20">
        <v>2772090000</v>
      </c>
      <c r="I78" s="20" t="str">
        <f>TRIM(C78)</f>
        <v>SP500</v>
      </c>
      <c r="J78" s="20" t="s">
        <v>17</v>
      </c>
    </row>
    <row r="79" spans="1:10" x14ac:dyDescent="0.25">
      <c r="A79" s="21">
        <v>44425</v>
      </c>
      <c r="B79" s="22" t="s">
        <v>28</v>
      </c>
      <c r="C79" s="22" t="s">
        <v>22</v>
      </c>
      <c r="D79" s="20">
        <v>4462.12</v>
      </c>
      <c r="E79" s="20">
        <v>4462.12</v>
      </c>
      <c r="F79" s="20">
        <v>4417.83</v>
      </c>
      <c r="G79" s="20">
        <v>4448.08</v>
      </c>
      <c r="H79" s="20">
        <v>2884000000</v>
      </c>
      <c r="I79" s="20" t="str">
        <f>TRIM(C79)</f>
        <v>SP500</v>
      </c>
      <c r="J79" s="20" t="s">
        <v>16</v>
      </c>
    </row>
    <row r="80" spans="1:10" x14ac:dyDescent="0.25">
      <c r="A80" s="21">
        <v>44420</v>
      </c>
      <c r="B80" s="22" t="s">
        <v>28</v>
      </c>
      <c r="C80" s="22" t="s">
        <v>22</v>
      </c>
      <c r="D80" s="20">
        <v>4446.08</v>
      </c>
      <c r="E80" s="20">
        <v>4461.7700000000004</v>
      </c>
      <c r="F80" s="20">
        <v>4435.96</v>
      </c>
      <c r="G80" s="20">
        <v>4460.83</v>
      </c>
      <c r="H80" s="20">
        <v>2543860000</v>
      </c>
      <c r="I80" s="20" t="str">
        <f>TRIM(C80)</f>
        <v>SP500</v>
      </c>
      <c r="J80" s="20" t="s">
        <v>16</v>
      </c>
    </row>
    <row r="81" spans="1:10" x14ac:dyDescent="0.25">
      <c r="A81" s="21">
        <v>44466</v>
      </c>
      <c r="B81" s="22" t="s">
        <v>29</v>
      </c>
      <c r="C81" s="22" t="s">
        <v>22</v>
      </c>
      <c r="D81" s="20">
        <v>4442.12</v>
      </c>
      <c r="E81" s="20">
        <v>4457.3</v>
      </c>
      <c r="F81" s="20">
        <v>4436.1899999999996</v>
      </c>
      <c r="G81" s="20">
        <v>4443.1099999999997</v>
      </c>
      <c r="H81" s="20">
        <v>3032870000</v>
      </c>
      <c r="I81" s="20" t="str">
        <f>TRIM(C81)</f>
        <v>SP500</v>
      </c>
      <c r="J81" s="20" t="s">
        <v>17</v>
      </c>
    </row>
    <row r="82" spans="1:10" x14ac:dyDescent="0.25">
      <c r="A82" s="21">
        <v>44426</v>
      </c>
      <c r="B82" s="22" t="s">
        <v>28</v>
      </c>
      <c r="C82" s="22" t="s">
        <v>22</v>
      </c>
      <c r="D82" s="20">
        <v>4440.9399999999996</v>
      </c>
      <c r="E82" s="20">
        <v>4454.32</v>
      </c>
      <c r="F82" s="20">
        <v>4397.59</v>
      </c>
      <c r="G82" s="20">
        <v>4400.2700000000004</v>
      </c>
      <c r="H82" s="20">
        <v>2965210000</v>
      </c>
      <c r="I82" s="20" t="str">
        <f>TRIM(C82)</f>
        <v>SP500</v>
      </c>
      <c r="J82" s="20" t="s">
        <v>16</v>
      </c>
    </row>
    <row r="83" spans="1:10" x14ac:dyDescent="0.25">
      <c r="A83" s="21">
        <v>44419</v>
      </c>
      <c r="B83" s="22" t="s">
        <v>28</v>
      </c>
      <c r="C83" s="22" t="s">
        <v>22</v>
      </c>
      <c r="D83" s="20">
        <v>4442.18</v>
      </c>
      <c r="E83" s="20">
        <v>4449.4399999999996</v>
      </c>
      <c r="F83" s="20">
        <v>4436.42</v>
      </c>
      <c r="G83" s="20">
        <v>4442.41</v>
      </c>
      <c r="H83" s="20">
        <v>2803060000</v>
      </c>
      <c r="I83" s="20" t="str">
        <f>TRIM(C83)</f>
        <v>SP500</v>
      </c>
      <c r="J83" s="20" t="s">
        <v>16</v>
      </c>
    </row>
    <row r="84" spans="1:10" x14ac:dyDescent="0.25">
      <c r="A84" s="21">
        <v>44418</v>
      </c>
      <c r="B84" s="22" t="s">
        <v>28</v>
      </c>
      <c r="C84" s="22" t="s">
        <v>22</v>
      </c>
      <c r="D84" s="20">
        <v>4435.79</v>
      </c>
      <c r="E84" s="20">
        <v>4445.21</v>
      </c>
      <c r="F84" s="20">
        <v>4430.03</v>
      </c>
      <c r="G84" s="20">
        <v>4436.75</v>
      </c>
      <c r="H84" s="20">
        <v>3219840000</v>
      </c>
      <c r="I84" s="20" t="str">
        <f>TRIM(C84)</f>
        <v>SP500</v>
      </c>
      <c r="J84" s="20" t="s">
        <v>16</v>
      </c>
    </row>
    <row r="85" spans="1:10" x14ac:dyDescent="0.25">
      <c r="A85" s="21">
        <v>44428</v>
      </c>
      <c r="B85" s="22" t="s">
        <v>28</v>
      </c>
      <c r="C85" s="22" t="s">
        <v>22</v>
      </c>
      <c r="D85" s="20">
        <v>4410.5600000000004</v>
      </c>
      <c r="E85" s="20">
        <v>4444.3500000000004</v>
      </c>
      <c r="F85" s="20">
        <v>4406.8</v>
      </c>
      <c r="G85" s="20">
        <v>4441.67</v>
      </c>
      <c r="H85" s="20">
        <v>2867770000</v>
      </c>
      <c r="I85" s="20" t="str">
        <f>TRIM(C85)</f>
        <v>SP500</v>
      </c>
      <c r="J85" s="20" t="s">
        <v>16</v>
      </c>
    </row>
    <row r="86" spans="1:10" x14ac:dyDescent="0.25">
      <c r="A86" s="21">
        <v>44414</v>
      </c>
      <c r="B86" s="22" t="s">
        <v>28</v>
      </c>
      <c r="C86" s="22" t="s">
        <v>22</v>
      </c>
      <c r="D86" s="20">
        <v>4429.07</v>
      </c>
      <c r="E86" s="20">
        <v>4440.82</v>
      </c>
      <c r="F86" s="20">
        <v>4429.07</v>
      </c>
      <c r="G86" s="20">
        <v>4436.5200000000004</v>
      </c>
      <c r="H86" s="20">
        <v>2839970000</v>
      </c>
      <c r="I86" s="20" t="str">
        <f>TRIM(C86)</f>
        <v>SP500</v>
      </c>
      <c r="J86" s="20" t="s">
        <v>16</v>
      </c>
    </row>
    <row r="87" spans="1:10" x14ac:dyDescent="0.25">
      <c r="A87" s="21">
        <v>44483</v>
      </c>
      <c r="B87" s="22" t="s">
        <v>30</v>
      </c>
      <c r="C87" s="22" t="s">
        <v>22</v>
      </c>
      <c r="D87" s="20">
        <v>4386.75</v>
      </c>
      <c r="E87" s="20">
        <v>4439.7299999999996</v>
      </c>
      <c r="F87" s="20">
        <v>4386.75</v>
      </c>
      <c r="G87" s="20">
        <v>4438.26</v>
      </c>
      <c r="H87" s="20">
        <v>2642920000</v>
      </c>
      <c r="I87" s="20" t="str">
        <f>TRIM(C87)</f>
        <v>SP500</v>
      </c>
      <c r="J87" s="20" t="s">
        <v>18</v>
      </c>
    </row>
    <row r="88" spans="1:10" x14ac:dyDescent="0.25">
      <c r="A88" s="21">
        <v>44417</v>
      </c>
      <c r="B88" s="22" t="s">
        <v>28</v>
      </c>
      <c r="C88" s="22" t="s">
        <v>22</v>
      </c>
      <c r="D88" s="20">
        <v>4437.7700000000004</v>
      </c>
      <c r="E88" s="20">
        <v>4439.3900000000003</v>
      </c>
      <c r="F88" s="20">
        <v>4424.74</v>
      </c>
      <c r="G88" s="20">
        <v>4432.3500000000004</v>
      </c>
      <c r="H88" s="20">
        <v>2779880000</v>
      </c>
      <c r="I88" s="20" t="str">
        <f>TRIM(C88)</f>
        <v>SP500</v>
      </c>
      <c r="J88" s="20" t="s">
        <v>16</v>
      </c>
    </row>
    <row r="89" spans="1:10" x14ac:dyDescent="0.25">
      <c r="A89" s="21">
        <v>44476</v>
      </c>
      <c r="B89" s="22" t="s">
        <v>30</v>
      </c>
      <c r="C89" s="22" t="s">
        <v>22</v>
      </c>
      <c r="D89" s="20">
        <v>4383.7299999999996</v>
      </c>
      <c r="E89" s="20">
        <v>4429.97</v>
      </c>
      <c r="F89" s="20">
        <v>4383.7299999999996</v>
      </c>
      <c r="G89" s="20">
        <v>4399.76</v>
      </c>
      <c r="H89" s="20">
        <v>3096080000</v>
      </c>
      <c r="I89" s="20" t="str">
        <f>TRIM(C89)</f>
        <v>SP500</v>
      </c>
      <c r="J89" s="20" t="s">
        <v>18</v>
      </c>
    </row>
    <row r="90" spans="1:10" x14ac:dyDescent="0.25">
      <c r="A90" s="21">
        <v>44406</v>
      </c>
      <c r="B90" s="22" t="s">
        <v>27</v>
      </c>
      <c r="C90" s="22" t="s">
        <v>22</v>
      </c>
      <c r="D90" s="20">
        <v>4403.59</v>
      </c>
      <c r="E90" s="20">
        <v>4429.97</v>
      </c>
      <c r="F90" s="20">
        <v>4403.59</v>
      </c>
      <c r="G90" s="20">
        <v>4419.1499999999996</v>
      </c>
      <c r="H90" s="20">
        <v>2815510000</v>
      </c>
      <c r="I90" s="20" t="str">
        <f>TRIM(C90)</f>
        <v>SP500</v>
      </c>
      <c r="J90" s="20" t="s">
        <v>15</v>
      </c>
    </row>
    <row r="91" spans="1:10" x14ac:dyDescent="0.25">
      <c r="A91" s="21">
        <v>44413</v>
      </c>
      <c r="B91" s="22" t="s">
        <v>28</v>
      </c>
      <c r="C91" s="22" t="s">
        <v>22</v>
      </c>
      <c r="D91" s="20">
        <v>4408.8599999999997</v>
      </c>
      <c r="E91" s="20">
        <v>4429.76</v>
      </c>
      <c r="F91" s="20">
        <v>4408.8599999999997</v>
      </c>
      <c r="G91" s="20">
        <v>4429.1000000000004</v>
      </c>
      <c r="H91" s="20">
        <v>2734220000</v>
      </c>
      <c r="I91" s="20" t="str">
        <f>TRIM(C91)</f>
        <v>SP500</v>
      </c>
      <c r="J91" s="20" t="s">
        <v>16</v>
      </c>
    </row>
    <row r="92" spans="1:10" x14ac:dyDescent="0.25">
      <c r="A92" s="21">
        <v>44411</v>
      </c>
      <c r="B92" s="22" t="s">
        <v>28</v>
      </c>
      <c r="C92" s="22" t="s">
        <v>22</v>
      </c>
      <c r="D92" s="20">
        <v>4392.74</v>
      </c>
      <c r="E92" s="20">
        <v>4423.79</v>
      </c>
      <c r="F92" s="20">
        <v>4373</v>
      </c>
      <c r="G92" s="20">
        <v>4423.1499999999996</v>
      </c>
      <c r="H92" s="20">
        <v>3305340000</v>
      </c>
      <c r="I92" s="20" t="str">
        <f>TRIM(C92)</f>
        <v>SP500</v>
      </c>
      <c r="J92" s="20" t="s">
        <v>16</v>
      </c>
    </row>
    <row r="93" spans="1:10" x14ac:dyDescent="0.25">
      <c r="A93" s="21">
        <v>44403</v>
      </c>
      <c r="B93" s="22" t="s">
        <v>27</v>
      </c>
      <c r="C93" s="22" t="s">
        <v>22</v>
      </c>
      <c r="D93" s="20">
        <v>4409.58</v>
      </c>
      <c r="E93" s="20">
        <v>4422.7299999999996</v>
      </c>
      <c r="F93" s="20">
        <v>4405.45</v>
      </c>
      <c r="G93" s="20">
        <v>4422.3</v>
      </c>
      <c r="H93" s="20">
        <v>2679110000</v>
      </c>
      <c r="I93" s="20" t="str">
        <f>TRIM(C93)</f>
        <v>SP500</v>
      </c>
      <c r="J93" s="20" t="s">
        <v>15</v>
      </c>
    </row>
    <row r="94" spans="1:10" x14ac:dyDescent="0.25">
      <c r="A94" s="21">
        <v>44410</v>
      </c>
      <c r="B94" s="22" t="s">
        <v>28</v>
      </c>
      <c r="C94" s="22" t="s">
        <v>22</v>
      </c>
      <c r="D94" s="20">
        <v>4406.8599999999997</v>
      </c>
      <c r="E94" s="20">
        <v>4422.18</v>
      </c>
      <c r="F94" s="20">
        <v>4384.8100000000004</v>
      </c>
      <c r="G94" s="20">
        <v>4387.16</v>
      </c>
      <c r="H94" s="20">
        <v>2919940000</v>
      </c>
      <c r="I94" s="20" t="str">
        <f>TRIM(C94)</f>
        <v>SP500</v>
      </c>
      <c r="J94" s="20" t="s">
        <v>16</v>
      </c>
    </row>
    <row r="95" spans="1:10" x14ac:dyDescent="0.25">
      <c r="A95" s="21">
        <v>44467</v>
      </c>
      <c r="B95" s="22" t="s">
        <v>29</v>
      </c>
      <c r="C95" s="22" t="s">
        <v>22</v>
      </c>
      <c r="D95" s="20">
        <v>4419.54</v>
      </c>
      <c r="E95" s="20">
        <v>4419.54</v>
      </c>
      <c r="F95" s="20">
        <v>4346.33</v>
      </c>
      <c r="G95" s="20">
        <v>4352.63</v>
      </c>
      <c r="H95" s="20">
        <v>3495970000</v>
      </c>
      <c r="I95" s="20" t="str">
        <f>TRIM(C95)</f>
        <v>SP500</v>
      </c>
      <c r="J95" s="20" t="s">
        <v>17</v>
      </c>
    </row>
    <row r="96" spans="1:10" x14ac:dyDescent="0.25">
      <c r="A96" s="21">
        <v>44427</v>
      </c>
      <c r="B96" s="22" t="s">
        <v>28</v>
      </c>
      <c r="C96" s="22" t="s">
        <v>22</v>
      </c>
      <c r="D96" s="20">
        <v>4382.4399999999996</v>
      </c>
      <c r="E96" s="20">
        <v>4418.6099999999997</v>
      </c>
      <c r="F96" s="20">
        <v>4367.7299999999996</v>
      </c>
      <c r="G96" s="20">
        <v>4405.8</v>
      </c>
      <c r="H96" s="20">
        <v>3120840000</v>
      </c>
      <c r="I96" s="20" t="str">
        <f>TRIM(C96)</f>
        <v>SP500</v>
      </c>
      <c r="J96" s="20" t="s">
        <v>16</v>
      </c>
    </row>
    <row r="97" spans="1:10" x14ac:dyDescent="0.25">
      <c r="A97" s="21">
        <v>44461</v>
      </c>
      <c r="B97" s="22" t="s">
        <v>29</v>
      </c>
      <c r="C97" s="22" t="s">
        <v>22</v>
      </c>
      <c r="D97" s="20">
        <v>4367.43</v>
      </c>
      <c r="E97" s="20">
        <v>4416.75</v>
      </c>
      <c r="F97" s="20">
        <v>4367.43</v>
      </c>
      <c r="G97" s="20">
        <v>4395.6400000000003</v>
      </c>
      <c r="H97" s="20">
        <v>3273670000</v>
      </c>
      <c r="I97" s="20" t="str">
        <f>TRIM(C97)</f>
        <v>SP500</v>
      </c>
      <c r="J97" s="20" t="s">
        <v>17</v>
      </c>
    </row>
    <row r="98" spans="1:10" x14ac:dyDescent="0.25">
      <c r="A98" s="21">
        <v>44404</v>
      </c>
      <c r="B98" s="22" t="s">
        <v>27</v>
      </c>
      <c r="C98" s="22" t="s">
        <v>22</v>
      </c>
      <c r="D98" s="20">
        <v>4416.38</v>
      </c>
      <c r="E98" s="20">
        <v>4416.38</v>
      </c>
      <c r="F98" s="20">
        <v>4372.51</v>
      </c>
      <c r="G98" s="20">
        <v>4401.46</v>
      </c>
      <c r="H98" s="20">
        <v>3381080000</v>
      </c>
      <c r="I98" s="20" t="str">
        <f>TRIM(C98)</f>
        <v>SP500</v>
      </c>
      <c r="J98" s="20" t="s">
        <v>15</v>
      </c>
    </row>
    <row r="99" spans="1:10" x14ac:dyDescent="0.25">
      <c r="A99" s="21">
        <v>44412</v>
      </c>
      <c r="B99" s="22" t="s">
        <v>28</v>
      </c>
      <c r="C99" s="22" t="s">
        <v>22</v>
      </c>
      <c r="D99" s="20">
        <v>4415.95</v>
      </c>
      <c r="E99" s="20">
        <v>4416.17</v>
      </c>
      <c r="F99" s="20">
        <v>4400.2299999999996</v>
      </c>
      <c r="G99" s="20">
        <v>4402.66</v>
      </c>
      <c r="H99" s="20">
        <v>3382620000</v>
      </c>
      <c r="I99" s="20" t="str">
        <f>TRIM(C99)</f>
        <v>SP500</v>
      </c>
      <c r="J99" s="20" t="s">
        <v>16</v>
      </c>
    </row>
    <row r="100" spans="1:10" x14ac:dyDescent="0.25">
      <c r="A100" s="21">
        <v>44480</v>
      </c>
      <c r="B100" s="22" t="s">
        <v>30</v>
      </c>
      <c r="C100" s="22" t="s">
        <v>22</v>
      </c>
      <c r="D100" s="20">
        <v>4385.4399999999996</v>
      </c>
      <c r="E100" s="20">
        <v>4415.88</v>
      </c>
      <c r="F100" s="20">
        <v>4360.59</v>
      </c>
      <c r="G100" s="20">
        <v>4361.1899999999996</v>
      </c>
      <c r="H100" s="20">
        <v>2580000000</v>
      </c>
      <c r="I100" s="20" t="str">
        <f>TRIM(C100)</f>
        <v>SP500</v>
      </c>
      <c r="J100" s="20" t="s">
        <v>18</v>
      </c>
    </row>
    <row r="101" spans="1:10" x14ac:dyDescent="0.25">
      <c r="A101" s="21">
        <v>44405</v>
      </c>
      <c r="B101" s="22" t="s">
        <v>27</v>
      </c>
      <c r="C101" s="22" t="s">
        <v>22</v>
      </c>
      <c r="D101" s="20">
        <v>4402.95</v>
      </c>
      <c r="E101" s="20">
        <v>4415.47</v>
      </c>
      <c r="F101" s="20">
        <v>4387.01</v>
      </c>
      <c r="G101" s="20">
        <v>4400.6400000000003</v>
      </c>
      <c r="H101" s="20">
        <v>3215130000</v>
      </c>
      <c r="I101" s="20" t="str">
        <f>TRIM(C101)</f>
        <v>SP500</v>
      </c>
      <c r="J101" s="20" t="s">
        <v>15</v>
      </c>
    </row>
    <row r="102" spans="1:10" x14ac:dyDescent="0.25">
      <c r="A102" s="21">
        <v>44400</v>
      </c>
      <c r="B102" s="22" t="s">
        <v>27</v>
      </c>
      <c r="C102" s="22" t="s">
        <v>22</v>
      </c>
      <c r="D102" s="20">
        <v>4381.2</v>
      </c>
      <c r="E102" s="20">
        <v>4415.18</v>
      </c>
      <c r="F102" s="20">
        <v>4381.2</v>
      </c>
      <c r="G102" s="20">
        <v>4411.79</v>
      </c>
      <c r="H102" s="20">
        <v>3490730000</v>
      </c>
      <c r="I102" s="20" t="str">
        <f>TRIM(C102)</f>
        <v>SP500</v>
      </c>
      <c r="J102" s="20" t="s">
        <v>15</v>
      </c>
    </row>
    <row r="103" spans="1:10" x14ac:dyDescent="0.25">
      <c r="A103" s="21">
        <v>44407</v>
      </c>
      <c r="B103" s="22" t="s">
        <v>27</v>
      </c>
      <c r="C103" s="22" t="s">
        <v>22</v>
      </c>
      <c r="D103" s="20">
        <v>4395.12</v>
      </c>
      <c r="E103" s="20">
        <v>4412.25</v>
      </c>
      <c r="F103" s="20">
        <v>4389.6499999999996</v>
      </c>
      <c r="G103" s="20">
        <v>4395.26</v>
      </c>
      <c r="H103" s="20">
        <v>2861600000</v>
      </c>
      <c r="I103" s="20" t="str">
        <f>TRIM(C103)</f>
        <v>SP500</v>
      </c>
      <c r="J103" s="20" t="s">
        <v>15</v>
      </c>
    </row>
    <row r="104" spans="1:10" x14ac:dyDescent="0.25">
      <c r="A104" s="21">
        <v>44477</v>
      </c>
      <c r="B104" s="22" t="s">
        <v>30</v>
      </c>
      <c r="C104" s="22" t="s">
        <v>22</v>
      </c>
      <c r="D104" s="20">
        <v>4406.51</v>
      </c>
      <c r="E104" s="20">
        <v>4412.0200000000004</v>
      </c>
      <c r="F104" s="20">
        <v>4386.22</v>
      </c>
      <c r="G104" s="20">
        <v>4391.34</v>
      </c>
      <c r="H104" s="20">
        <v>2401890000</v>
      </c>
      <c r="I104" s="20" t="str">
        <f>TRIM(C104)</f>
        <v>SP500</v>
      </c>
      <c r="J104" s="20" t="s">
        <v>18</v>
      </c>
    </row>
    <row r="105" spans="1:10" x14ac:dyDescent="0.25">
      <c r="A105" s="21">
        <v>44459</v>
      </c>
      <c r="B105" s="22" t="s">
        <v>29</v>
      </c>
      <c r="C105" s="22" t="s">
        <v>22</v>
      </c>
      <c r="D105" s="20">
        <v>4402.95</v>
      </c>
      <c r="E105" s="20">
        <v>4402.95</v>
      </c>
      <c r="F105" s="20">
        <v>4305.91</v>
      </c>
      <c r="G105" s="20">
        <v>4357.7299999999996</v>
      </c>
      <c r="H105" s="20">
        <v>3773680000</v>
      </c>
      <c r="I105" s="20" t="str">
        <f>TRIM(C105)</f>
        <v>SP500</v>
      </c>
      <c r="J105" s="20" t="s">
        <v>17</v>
      </c>
    </row>
    <row r="106" spans="1:10" x14ac:dyDescent="0.25">
      <c r="A106" s="21">
        <v>44460</v>
      </c>
      <c r="B106" s="22" t="s">
        <v>29</v>
      </c>
      <c r="C106" s="22" t="s">
        <v>22</v>
      </c>
      <c r="D106" s="20">
        <v>4374.45</v>
      </c>
      <c r="E106" s="20">
        <v>4394.87</v>
      </c>
      <c r="F106" s="20">
        <v>4347.96</v>
      </c>
      <c r="G106" s="20">
        <v>4354.1899999999996</v>
      </c>
      <c r="H106" s="20">
        <v>3044300000</v>
      </c>
      <c r="I106" s="20" t="str">
        <f>TRIM(C106)</f>
        <v>SP500</v>
      </c>
      <c r="J106" s="20" t="s">
        <v>17</v>
      </c>
    </row>
    <row r="107" spans="1:10" x14ac:dyDescent="0.25">
      <c r="A107" s="21">
        <v>44391</v>
      </c>
      <c r="B107" s="22" t="s">
        <v>27</v>
      </c>
      <c r="C107" s="22" t="s">
        <v>22</v>
      </c>
      <c r="D107" s="20">
        <v>4380.1099999999997</v>
      </c>
      <c r="E107" s="20">
        <v>4393.68</v>
      </c>
      <c r="F107" s="20">
        <v>4362.3599999999997</v>
      </c>
      <c r="G107" s="20">
        <v>4374.3</v>
      </c>
      <c r="H107" s="20">
        <v>3213870000</v>
      </c>
      <c r="I107" s="20" t="str">
        <f>TRIM(C107)</f>
        <v>SP500</v>
      </c>
      <c r="J107" s="20" t="s">
        <v>15</v>
      </c>
    </row>
    <row r="108" spans="1:10" x14ac:dyDescent="0.25">
      <c r="A108" s="21">
        <v>44390</v>
      </c>
      <c r="B108" s="22" t="s">
        <v>27</v>
      </c>
      <c r="C108" s="22" t="s">
        <v>22</v>
      </c>
      <c r="D108" s="20">
        <v>4381.07</v>
      </c>
      <c r="E108" s="20">
        <v>4392.37</v>
      </c>
      <c r="F108" s="20">
        <v>4366.92</v>
      </c>
      <c r="G108" s="20">
        <v>4369.21</v>
      </c>
      <c r="H108" s="20">
        <v>3166900000</v>
      </c>
      <c r="I108" s="20" t="str">
        <f>TRIM(C108)</f>
        <v>SP500</v>
      </c>
      <c r="J108" s="20" t="s">
        <v>15</v>
      </c>
    </row>
    <row r="109" spans="1:10" x14ac:dyDescent="0.25">
      <c r="A109" s="21">
        <v>44389</v>
      </c>
      <c r="B109" s="22" t="s">
        <v>27</v>
      </c>
      <c r="C109" s="22" t="s">
        <v>22</v>
      </c>
      <c r="D109" s="20">
        <v>4372.41</v>
      </c>
      <c r="E109" s="20">
        <v>4386.68</v>
      </c>
      <c r="F109" s="20">
        <v>4364.03</v>
      </c>
      <c r="G109" s="20">
        <v>4384.63</v>
      </c>
      <c r="H109" s="20">
        <v>2983980000</v>
      </c>
      <c r="I109" s="20" t="str">
        <f>TRIM(C109)</f>
        <v>SP500</v>
      </c>
      <c r="J109" s="20" t="s">
        <v>15</v>
      </c>
    </row>
    <row r="110" spans="1:10" x14ac:dyDescent="0.25">
      <c r="A110" s="21">
        <v>44468</v>
      </c>
      <c r="B110" s="22" t="s">
        <v>29</v>
      </c>
      <c r="C110" s="22" t="s">
        <v>22</v>
      </c>
      <c r="D110" s="20">
        <v>4362.41</v>
      </c>
      <c r="E110" s="20">
        <v>4385.57</v>
      </c>
      <c r="F110" s="20">
        <v>4355.08</v>
      </c>
      <c r="G110" s="20">
        <v>4359.46</v>
      </c>
      <c r="H110" s="20">
        <v>2753800000</v>
      </c>
      <c r="I110" s="20" t="str">
        <f>TRIM(C110)</f>
        <v>SP500</v>
      </c>
      <c r="J110" s="20" t="s">
        <v>17</v>
      </c>
    </row>
    <row r="111" spans="1:10" x14ac:dyDescent="0.25">
      <c r="A111" s="21">
        <v>44469</v>
      </c>
      <c r="B111" s="22" t="s">
        <v>29</v>
      </c>
      <c r="C111" s="22" t="s">
        <v>22</v>
      </c>
      <c r="D111" s="20">
        <v>4370.67</v>
      </c>
      <c r="E111" s="20">
        <v>4382.55</v>
      </c>
      <c r="F111" s="20">
        <v>4306.24</v>
      </c>
      <c r="G111" s="20">
        <v>4307.54</v>
      </c>
      <c r="H111" s="20">
        <v>3123770000</v>
      </c>
      <c r="I111" s="20" t="str">
        <f>TRIM(C111)</f>
        <v>SP500</v>
      </c>
      <c r="J111" s="20" t="s">
        <v>17</v>
      </c>
    </row>
    <row r="112" spans="1:10" x14ac:dyDescent="0.25">
      <c r="A112" s="21">
        <v>44470</v>
      </c>
      <c r="B112" s="22" t="s">
        <v>30</v>
      </c>
      <c r="C112" s="22" t="s">
        <v>22</v>
      </c>
      <c r="D112" s="20">
        <v>4317.16</v>
      </c>
      <c r="E112" s="20">
        <v>4375.1899999999996</v>
      </c>
      <c r="F112" s="20">
        <v>4288.5200000000004</v>
      </c>
      <c r="G112" s="20">
        <v>4357.04</v>
      </c>
      <c r="H112" s="20">
        <v>3148980000</v>
      </c>
      <c r="I112" s="20" t="str">
        <f>TRIM(C112)</f>
        <v>SP500</v>
      </c>
      <c r="J112" s="20" t="s">
        <v>18</v>
      </c>
    </row>
    <row r="113" spans="1:10" x14ac:dyDescent="0.25">
      <c r="A113" s="21">
        <v>44393</v>
      </c>
      <c r="B113" s="22" t="s">
        <v>27</v>
      </c>
      <c r="C113" s="22" t="s">
        <v>22</v>
      </c>
      <c r="D113" s="20">
        <v>4367.43</v>
      </c>
      <c r="E113" s="20">
        <v>4375.09</v>
      </c>
      <c r="F113" s="20">
        <v>4322.53</v>
      </c>
      <c r="G113" s="20">
        <v>4327.16</v>
      </c>
      <c r="H113" s="20">
        <v>3165160000</v>
      </c>
      <c r="I113" s="20" t="str">
        <f>TRIM(C113)</f>
        <v>SP500</v>
      </c>
      <c r="J113" s="20" t="s">
        <v>15</v>
      </c>
    </row>
    <row r="114" spans="1:10" x14ac:dyDescent="0.25">
      <c r="A114" s="21">
        <v>44481</v>
      </c>
      <c r="B114" s="22" t="s">
        <v>30</v>
      </c>
      <c r="C114" s="22" t="s">
        <v>22</v>
      </c>
      <c r="D114" s="20">
        <v>4368.3100000000004</v>
      </c>
      <c r="E114" s="20">
        <v>4374.8900000000003</v>
      </c>
      <c r="F114" s="20">
        <v>4342.09</v>
      </c>
      <c r="G114" s="20">
        <v>4350.6499999999996</v>
      </c>
      <c r="H114" s="20">
        <v>2608150000</v>
      </c>
      <c r="I114" s="20" t="str">
        <f>TRIM(C114)</f>
        <v>SP500</v>
      </c>
      <c r="J114" s="20" t="s">
        <v>18</v>
      </c>
    </row>
    <row r="115" spans="1:10" x14ac:dyDescent="0.25">
      <c r="A115" s="21">
        <v>44482</v>
      </c>
      <c r="B115" s="22" t="s">
        <v>30</v>
      </c>
      <c r="C115" s="22" t="s">
        <v>22</v>
      </c>
      <c r="D115" s="20">
        <v>4358.01</v>
      </c>
      <c r="E115" s="20">
        <v>4372.87</v>
      </c>
      <c r="F115" s="20">
        <v>4329.92</v>
      </c>
      <c r="G115" s="20">
        <v>4363.8</v>
      </c>
      <c r="H115" s="20">
        <v>2926460000</v>
      </c>
      <c r="I115" s="20" t="str">
        <f>TRIM(C115)</f>
        <v>SP500</v>
      </c>
      <c r="J115" s="20" t="s">
        <v>18</v>
      </c>
    </row>
    <row r="116" spans="1:10" x14ac:dyDescent="0.25">
      <c r="A116" s="21">
        <v>44386</v>
      </c>
      <c r="B116" s="22" t="s">
        <v>27</v>
      </c>
      <c r="C116" s="22" t="s">
        <v>22</v>
      </c>
      <c r="D116" s="20">
        <v>4329.38</v>
      </c>
      <c r="E116" s="20">
        <v>4371.6000000000004</v>
      </c>
      <c r="F116" s="20">
        <v>4329.38</v>
      </c>
      <c r="G116" s="20">
        <v>4369.55</v>
      </c>
      <c r="H116" s="20">
        <v>2738280000</v>
      </c>
      <c r="I116" s="20" t="str">
        <f>TRIM(C116)</f>
        <v>SP500</v>
      </c>
      <c r="J116" s="20" t="s">
        <v>15</v>
      </c>
    </row>
    <row r="117" spans="1:10" x14ac:dyDescent="0.25">
      <c r="A117" s="21">
        <v>44399</v>
      </c>
      <c r="B117" s="22" t="s">
        <v>27</v>
      </c>
      <c r="C117" s="22" t="s">
        <v>22</v>
      </c>
      <c r="D117" s="20">
        <v>4361.2700000000004</v>
      </c>
      <c r="E117" s="20">
        <v>4369.87</v>
      </c>
      <c r="F117" s="20">
        <v>4350.0600000000004</v>
      </c>
      <c r="G117" s="20">
        <v>4367.4799999999996</v>
      </c>
      <c r="H117" s="20">
        <v>2907910000</v>
      </c>
      <c r="I117" s="20" t="str">
        <f>TRIM(C117)</f>
        <v>SP500</v>
      </c>
      <c r="J117" s="20" t="s">
        <v>15</v>
      </c>
    </row>
    <row r="118" spans="1:10" x14ac:dyDescent="0.25">
      <c r="A118" s="21">
        <v>44474</v>
      </c>
      <c r="B118" s="22" t="s">
        <v>30</v>
      </c>
      <c r="C118" s="22" t="s">
        <v>22</v>
      </c>
      <c r="D118" s="20">
        <v>4309.87</v>
      </c>
      <c r="E118" s="20">
        <v>4369.2299999999996</v>
      </c>
      <c r="F118" s="20">
        <v>4309.87</v>
      </c>
      <c r="G118" s="20">
        <v>4345.72</v>
      </c>
      <c r="H118" s="20">
        <v>2967400000</v>
      </c>
      <c r="I118" s="20" t="str">
        <f>TRIM(C118)</f>
        <v>SP500</v>
      </c>
      <c r="J118" s="20" t="s">
        <v>18</v>
      </c>
    </row>
    <row r="119" spans="1:10" x14ac:dyDescent="0.25">
      <c r="A119" s="21">
        <v>44392</v>
      </c>
      <c r="B119" s="22" t="s">
        <v>27</v>
      </c>
      <c r="C119" s="22" t="s">
        <v>22</v>
      </c>
      <c r="D119" s="20">
        <v>4369.0200000000004</v>
      </c>
      <c r="E119" s="20">
        <v>4369.0200000000004</v>
      </c>
      <c r="F119" s="20">
        <v>4340.7</v>
      </c>
      <c r="G119" s="20">
        <v>4360.03</v>
      </c>
      <c r="H119" s="20">
        <v>3226930000</v>
      </c>
      <c r="I119" s="20" t="str">
        <f>TRIM(C119)</f>
        <v>SP500</v>
      </c>
      <c r="J119" s="20" t="s">
        <v>15</v>
      </c>
    </row>
    <row r="120" spans="1:10" x14ac:dyDescent="0.25">
      <c r="A120" s="21">
        <v>44475</v>
      </c>
      <c r="B120" s="22" t="s">
        <v>30</v>
      </c>
      <c r="C120" s="22" t="s">
        <v>22</v>
      </c>
      <c r="D120" s="20">
        <v>4319.57</v>
      </c>
      <c r="E120" s="20">
        <v>4365.57</v>
      </c>
      <c r="F120" s="20">
        <v>4290.49</v>
      </c>
      <c r="G120" s="20">
        <v>4363.55</v>
      </c>
      <c r="H120" s="20">
        <v>3219590000</v>
      </c>
      <c r="I120" s="20" t="str">
        <f>TRIM(C120)</f>
        <v>SP500</v>
      </c>
      <c r="J120" s="20" t="s">
        <v>18</v>
      </c>
    </row>
    <row r="121" spans="1:10" x14ac:dyDescent="0.25">
      <c r="A121" s="21">
        <v>44384</v>
      </c>
      <c r="B121" s="22" t="s">
        <v>27</v>
      </c>
      <c r="C121" s="22" t="s">
        <v>22</v>
      </c>
      <c r="D121" s="20">
        <v>4351.01</v>
      </c>
      <c r="E121" s="20">
        <v>4361.88</v>
      </c>
      <c r="F121" s="20">
        <v>4329.79</v>
      </c>
      <c r="G121" s="20">
        <v>4358.13</v>
      </c>
      <c r="H121" s="20">
        <v>3243900000</v>
      </c>
      <c r="I121" s="20" t="str">
        <f>TRIM(C121)</f>
        <v>SP500</v>
      </c>
      <c r="J121" s="20" t="s">
        <v>15</v>
      </c>
    </row>
    <row r="122" spans="1:10" x14ac:dyDescent="0.25">
      <c r="A122" s="21">
        <v>44398</v>
      </c>
      <c r="B122" s="22" t="s">
        <v>27</v>
      </c>
      <c r="C122" s="22" t="s">
        <v>22</v>
      </c>
      <c r="D122" s="20">
        <v>4331.13</v>
      </c>
      <c r="E122" s="20">
        <v>4359.7</v>
      </c>
      <c r="F122" s="20">
        <v>4331.13</v>
      </c>
      <c r="G122" s="20">
        <v>4358.6899999999996</v>
      </c>
      <c r="H122" s="20">
        <v>3078550000</v>
      </c>
      <c r="I122" s="20" t="str">
        <f>TRIM(C122)</f>
        <v>SP500</v>
      </c>
      <c r="J122" s="20" t="s">
        <v>15</v>
      </c>
    </row>
    <row r="123" spans="1:10" x14ac:dyDescent="0.25">
      <c r="A123" s="21">
        <v>44383</v>
      </c>
      <c r="B123" s="22" t="s">
        <v>27</v>
      </c>
      <c r="C123" s="22" t="s">
        <v>22</v>
      </c>
      <c r="D123" s="20">
        <v>4356.46</v>
      </c>
      <c r="E123" s="20">
        <v>4356.46</v>
      </c>
      <c r="F123" s="20">
        <v>4314.37</v>
      </c>
      <c r="G123" s="20">
        <v>4343.54</v>
      </c>
      <c r="H123" s="20">
        <v>3437900000</v>
      </c>
      <c r="I123" s="20" t="str">
        <f>TRIM(C123)</f>
        <v>SP500</v>
      </c>
      <c r="J123" s="20" t="s">
        <v>15</v>
      </c>
    </row>
    <row r="124" spans="1:10" x14ac:dyDescent="0.25">
      <c r="A124" s="21">
        <v>44473</v>
      </c>
      <c r="B124" s="22" t="s">
        <v>30</v>
      </c>
      <c r="C124" s="22" t="s">
        <v>22</v>
      </c>
      <c r="D124" s="20">
        <v>4348.84</v>
      </c>
      <c r="E124" s="20">
        <v>4355.51</v>
      </c>
      <c r="F124" s="20">
        <v>4278.9399999999996</v>
      </c>
      <c r="G124" s="20">
        <v>4300.46</v>
      </c>
      <c r="H124" s="20">
        <v>3110560000</v>
      </c>
      <c r="I124" s="20" t="str">
        <f>TRIM(C124)</f>
        <v>SP500</v>
      </c>
      <c r="J124" s="20" t="s">
        <v>18</v>
      </c>
    </row>
    <row r="125" spans="1:10" x14ac:dyDescent="0.25">
      <c r="A125" s="21">
        <v>44379</v>
      </c>
      <c r="B125" s="22" t="s">
        <v>27</v>
      </c>
      <c r="C125" s="22" t="s">
        <v>22</v>
      </c>
      <c r="D125" s="20">
        <v>4326.6000000000004</v>
      </c>
      <c r="E125" s="20">
        <v>4355.43</v>
      </c>
      <c r="F125" s="20">
        <v>4326.6000000000004</v>
      </c>
      <c r="G125" s="20">
        <v>4352.34</v>
      </c>
      <c r="H125" s="20">
        <v>2628550000</v>
      </c>
      <c r="I125" s="20" t="str">
        <f>TRIM(C125)</f>
        <v>SP500</v>
      </c>
      <c r="J125" s="20" t="s">
        <v>15</v>
      </c>
    </row>
    <row r="126" spans="1:10" x14ac:dyDescent="0.25">
      <c r="A126" s="21">
        <v>44397</v>
      </c>
      <c r="B126" s="22" t="s">
        <v>27</v>
      </c>
      <c r="C126" s="22" t="s">
        <v>22</v>
      </c>
      <c r="D126" s="20">
        <v>4265.1099999999997</v>
      </c>
      <c r="E126" s="20">
        <v>4336.84</v>
      </c>
      <c r="F126" s="20">
        <v>4262.05</v>
      </c>
      <c r="G126" s="20">
        <v>4323.0600000000004</v>
      </c>
      <c r="H126" s="20">
        <v>3634190000</v>
      </c>
      <c r="I126" s="20" t="str">
        <f>TRIM(C126)</f>
        <v>SP500</v>
      </c>
      <c r="J126" s="20" t="s">
        <v>15</v>
      </c>
    </row>
    <row r="127" spans="1:10" x14ac:dyDescent="0.25">
      <c r="A127" s="21">
        <v>44385</v>
      </c>
      <c r="B127" s="22" t="s">
        <v>27</v>
      </c>
      <c r="C127" s="22" t="s">
        <v>22</v>
      </c>
      <c r="D127" s="20">
        <v>4321.07</v>
      </c>
      <c r="E127" s="20">
        <v>4330.88</v>
      </c>
      <c r="F127" s="20">
        <v>4289.37</v>
      </c>
      <c r="G127" s="20">
        <v>4320.82</v>
      </c>
      <c r="H127" s="20">
        <v>3393780000</v>
      </c>
      <c r="I127" s="20" t="str">
        <f>TRIM(C127)</f>
        <v>SP500</v>
      </c>
      <c r="J127" s="20" t="s">
        <v>15</v>
      </c>
    </row>
    <row r="128" spans="1:10" x14ac:dyDescent="0.25">
      <c r="A128" s="21">
        <v>44378</v>
      </c>
      <c r="B128" s="22" t="s">
        <v>27</v>
      </c>
      <c r="C128" s="22" t="s">
        <v>22</v>
      </c>
      <c r="D128" s="20">
        <v>4300.7299999999996</v>
      </c>
      <c r="E128" s="20">
        <v>4320.66</v>
      </c>
      <c r="F128" s="20">
        <v>4300.7299999999996</v>
      </c>
      <c r="G128" s="20">
        <v>4319.9399999999996</v>
      </c>
      <c r="H128" s="20">
        <v>3077580000</v>
      </c>
      <c r="I128" s="20" t="str">
        <f>TRIM(C128)</f>
        <v>SP500</v>
      </c>
      <c r="J128" s="20" t="s">
        <v>15</v>
      </c>
    </row>
    <row r="129" spans="1:10" x14ac:dyDescent="0.25">
      <c r="A129" s="21">
        <v>44377</v>
      </c>
      <c r="B129" s="22" t="s">
        <v>26</v>
      </c>
      <c r="C129" s="22" t="s">
        <v>22</v>
      </c>
      <c r="D129" s="20">
        <v>4290.6499999999996</v>
      </c>
      <c r="E129" s="20">
        <v>4302.43</v>
      </c>
      <c r="F129" s="20">
        <v>4287.96</v>
      </c>
      <c r="G129" s="20">
        <v>4297.5</v>
      </c>
      <c r="H129" s="20">
        <v>3687880000</v>
      </c>
      <c r="I129" s="20" t="str">
        <f>TRIM(C129)</f>
        <v>SP500</v>
      </c>
      <c r="J129" s="20" t="s">
        <v>14</v>
      </c>
    </row>
    <row r="130" spans="1:10" x14ac:dyDescent="0.25">
      <c r="A130" s="21">
        <v>44376</v>
      </c>
      <c r="B130" s="22" t="s">
        <v>26</v>
      </c>
      <c r="C130" s="22" t="s">
        <v>22</v>
      </c>
      <c r="D130" s="20">
        <v>4293.21</v>
      </c>
      <c r="E130" s="20">
        <v>4300.5200000000004</v>
      </c>
      <c r="F130" s="20">
        <v>4287.04</v>
      </c>
      <c r="G130" s="20">
        <v>4291.8</v>
      </c>
      <c r="H130" s="20">
        <v>3049560000</v>
      </c>
      <c r="I130" s="20" t="str">
        <f>TRIM(C130)</f>
        <v>SP500</v>
      </c>
      <c r="J130" s="20" t="s">
        <v>14</v>
      </c>
    </row>
    <row r="131" spans="1:10" x14ac:dyDescent="0.25">
      <c r="A131" s="21">
        <v>44396</v>
      </c>
      <c r="B131" s="22" t="s">
        <v>27</v>
      </c>
      <c r="C131" s="22" t="s">
        <v>22</v>
      </c>
      <c r="D131" s="20">
        <v>4296.3999999999996</v>
      </c>
      <c r="E131" s="20">
        <v>4296.3999999999996</v>
      </c>
      <c r="F131" s="20">
        <v>4233.13</v>
      </c>
      <c r="G131" s="20">
        <v>4258.49</v>
      </c>
      <c r="H131" s="20">
        <v>4155790000</v>
      </c>
      <c r="I131" s="20" t="str">
        <f>TRIM(C131)</f>
        <v>SP500</v>
      </c>
      <c r="J131" s="20" t="s">
        <v>15</v>
      </c>
    </row>
    <row r="132" spans="1:10" x14ac:dyDescent="0.25">
      <c r="A132" s="21">
        <v>44375</v>
      </c>
      <c r="B132" s="22" t="s">
        <v>26</v>
      </c>
      <c r="C132" s="22" t="s">
        <v>22</v>
      </c>
      <c r="D132" s="20">
        <v>4284.8999999999996</v>
      </c>
      <c r="E132" s="20">
        <v>4292.1400000000003</v>
      </c>
      <c r="F132" s="20">
        <v>4274.67</v>
      </c>
      <c r="G132" s="20">
        <v>4290.6099999999997</v>
      </c>
      <c r="H132" s="20">
        <v>3415610000</v>
      </c>
      <c r="I132" s="20" t="str">
        <f>TRIM(C132)</f>
        <v>SP500</v>
      </c>
      <c r="J132" s="20" t="s">
        <v>14</v>
      </c>
    </row>
    <row r="133" spans="1:10" x14ac:dyDescent="0.25">
      <c r="A133" s="21">
        <v>44372</v>
      </c>
      <c r="B133" s="22" t="s">
        <v>26</v>
      </c>
      <c r="C133" s="22" t="s">
        <v>22</v>
      </c>
      <c r="D133" s="20">
        <v>4274.45</v>
      </c>
      <c r="E133" s="20">
        <v>4286.12</v>
      </c>
      <c r="F133" s="20">
        <v>4271.16</v>
      </c>
      <c r="G133" s="20">
        <v>4280.7</v>
      </c>
      <c r="H133" s="20">
        <v>6248390000</v>
      </c>
      <c r="I133" s="20" t="str">
        <f>TRIM(C133)</f>
        <v>SP500</v>
      </c>
      <c r="J133" s="20" t="s">
        <v>14</v>
      </c>
    </row>
    <row r="134" spans="1:10" x14ac:dyDescent="0.25">
      <c r="A134" s="21">
        <v>44371</v>
      </c>
      <c r="B134" s="22" t="s">
        <v>26</v>
      </c>
      <c r="C134" s="22" t="s">
        <v>22</v>
      </c>
      <c r="D134" s="20">
        <v>4256.97</v>
      </c>
      <c r="E134" s="20">
        <v>4271.28</v>
      </c>
      <c r="F134" s="20">
        <v>4256.97</v>
      </c>
      <c r="G134" s="20">
        <v>4266.49</v>
      </c>
      <c r="H134" s="20">
        <v>3141680000</v>
      </c>
      <c r="I134" s="20" t="str">
        <f>TRIM(C134)</f>
        <v>SP500</v>
      </c>
      <c r="J134" s="20" t="s">
        <v>14</v>
      </c>
    </row>
    <row r="135" spans="1:10" x14ac:dyDescent="0.25">
      <c r="A135" s="21">
        <v>44362</v>
      </c>
      <c r="B135" s="22" t="s">
        <v>26</v>
      </c>
      <c r="C135" s="22" t="s">
        <v>22</v>
      </c>
      <c r="D135" s="20">
        <v>4255.28</v>
      </c>
      <c r="E135" s="20">
        <v>4257.16</v>
      </c>
      <c r="F135" s="20">
        <v>4238.3500000000004</v>
      </c>
      <c r="G135" s="20">
        <v>4246.59</v>
      </c>
      <c r="H135" s="20">
        <v>3578450000</v>
      </c>
      <c r="I135" s="20" t="str">
        <f>TRIM(C135)</f>
        <v>SP500</v>
      </c>
      <c r="J135" s="20" t="s">
        <v>14</v>
      </c>
    </row>
    <row r="136" spans="1:10" x14ac:dyDescent="0.25">
      <c r="A136" s="21">
        <v>44370</v>
      </c>
      <c r="B136" s="22" t="s">
        <v>26</v>
      </c>
      <c r="C136" s="22" t="s">
        <v>22</v>
      </c>
      <c r="D136" s="20">
        <v>4249.2700000000004</v>
      </c>
      <c r="E136" s="20">
        <v>4256.6000000000004</v>
      </c>
      <c r="F136" s="20">
        <v>4241.43</v>
      </c>
      <c r="G136" s="20">
        <v>4241.84</v>
      </c>
      <c r="H136" s="20">
        <v>3172440000</v>
      </c>
      <c r="I136" s="20" t="str">
        <f>TRIM(C136)</f>
        <v>SP500</v>
      </c>
      <c r="J136" s="20" t="s">
        <v>14</v>
      </c>
    </row>
    <row r="137" spans="1:10" x14ac:dyDescent="0.25">
      <c r="A137" s="21">
        <v>44369</v>
      </c>
      <c r="B137" s="22" t="s">
        <v>26</v>
      </c>
      <c r="C137" s="22" t="s">
        <v>22</v>
      </c>
      <c r="D137" s="20">
        <v>4224.6099999999997</v>
      </c>
      <c r="E137" s="20">
        <v>4255.84</v>
      </c>
      <c r="F137" s="20">
        <v>4217.2700000000004</v>
      </c>
      <c r="G137" s="20">
        <v>4246.4399999999996</v>
      </c>
      <c r="H137" s="20">
        <v>3208760000</v>
      </c>
      <c r="I137" s="20" t="str">
        <f>TRIM(C137)</f>
        <v>SP500</v>
      </c>
      <c r="J137" s="20" t="s">
        <v>14</v>
      </c>
    </row>
    <row r="138" spans="1:10" x14ac:dyDescent="0.25">
      <c r="A138" s="21">
        <v>44361</v>
      </c>
      <c r="B138" s="22" t="s">
        <v>26</v>
      </c>
      <c r="C138" s="22" t="s">
        <v>22</v>
      </c>
      <c r="D138" s="20">
        <v>4248.3100000000004</v>
      </c>
      <c r="E138" s="20">
        <v>4255.59</v>
      </c>
      <c r="F138" s="20">
        <v>4234.07</v>
      </c>
      <c r="G138" s="20">
        <v>4255.1499999999996</v>
      </c>
      <c r="H138" s="20">
        <v>3612050000</v>
      </c>
      <c r="I138" s="20" t="str">
        <f>TRIM(C138)</f>
        <v>SP500</v>
      </c>
      <c r="J138" s="20" t="s">
        <v>14</v>
      </c>
    </row>
    <row r="139" spans="1:10" x14ac:dyDescent="0.25">
      <c r="A139" s="21">
        <v>44363</v>
      </c>
      <c r="B139" s="22" t="s">
        <v>26</v>
      </c>
      <c r="C139" s="22" t="s">
        <v>22</v>
      </c>
      <c r="D139" s="20">
        <v>4248.87</v>
      </c>
      <c r="E139" s="20">
        <v>4251.8900000000003</v>
      </c>
      <c r="F139" s="20">
        <v>4202.45</v>
      </c>
      <c r="G139" s="20">
        <v>4223.7</v>
      </c>
      <c r="H139" s="20">
        <v>3722050000</v>
      </c>
      <c r="I139" s="20" t="str">
        <f>TRIM(C139)</f>
        <v>SP500</v>
      </c>
      <c r="J139" s="20" t="s">
        <v>14</v>
      </c>
    </row>
    <row r="140" spans="1:10" x14ac:dyDescent="0.25">
      <c r="A140" s="21">
        <v>44357</v>
      </c>
      <c r="B140" s="22" t="s">
        <v>26</v>
      </c>
      <c r="C140" s="22" t="s">
        <v>22</v>
      </c>
      <c r="D140" s="20">
        <v>4228.5600000000004</v>
      </c>
      <c r="E140" s="20">
        <v>4249.74</v>
      </c>
      <c r="F140" s="20">
        <v>4220.34</v>
      </c>
      <c r="G140" s="20">
        <v>4239.18</v>
      </c>
      <c r="H140" s="20">
        <v>3502480000</v>
      </c>
      <c r="I140" s="20" t="str">
        <f>TRIM(C140)</f>
        <v>SP500</v>
      </c>
      <c r="J140" s="20" t="s">
        <v>14</v>
      </c>
    </row>
    <row r="141" spans="1:10" x14ac:dyDescent="0.25">
      <c r="A141" s="21">
        <v>44358</v>
      </c>
      <c r="B141" s="22" t="s">
        <v>26</v>
      </c>
      <c r="C141" s="22" t="s">
        <v>22</v>
      </c>
      <c r="D141" s="20">
        <v>4242.8999999999996</v>
      </c>
      <c r="E141" s="20">
        <v>4248.38</v>
      </c>
      <c r="F141" s="20">
        <v>4232.25</v>
      </c>
      <c r="G141" s="20">
        <v>4247.4399999999996</v>
      </c>
      <c r="H141" s="20">
        <v>3204280000</v>
      </c>
      <c r="I141" s="20" t="str">
        <f>TRIM(C141)</f>
        <v>SP500</v>
      </c>
      <c r="J141" s="20" t="s">
        <v>14</v>
      </c>
    </row>
    <row r="142" spans="1:10" x14ac:dyDescent="0.25">
      <c r="A142" s="21">
        <v>44323</v>
      </c>
      <c r="B142" s="22" t="s">
        <v>13</v>
      </c>
      <c r="C142" s="22" t="s">
        <v>22</v>
      </c>
      <c r="D142" s="20">
        <v>4210.34</v>
      </c>
      <c r="E142" s="20">
        <v>4238.04</v>
      </c>
      <c r="F142" s="20">
        <v>4201.6400000000003</v>
      </c>
      <c r="G142" s="20">
        <v>4232.6000000000004</v>
      </c>
      <c r="H142" s="20">
        <v>4013060000</v>
      </c>
      <c r="I142" s="20" t="str">
        <f>TRIM(C142)</f>
        <v>SP500</v>
      </c>
      <c r="J142" s="20" t="s">
        <v>13</v>
      </c>
    </row>
    <row r="143" spans="1:10" x14ac:dyDescent="0.25">
      <c r="A143" s="21">
        <v>44356</v>
      </c>
      <c r="B143" s="22" t="s">
        <v>26</v>
      </c>
      <c r="C143" s="22" t="s">
        <v>22</v>
      </c>
      <c r="D143" s="20">
        <v>4232.99</v>
      </c>
      <c r="E143" s="20">
        <v>4237.09</v>
      </c>
      <c r="F143" s="20">
        <v>4218.74</v>
      </c>
      <c r="G143" s="20">
        <v>4219.55</v>
      </c>
      <c r="H143" s="20">
        <v>3902870000</v>
      </c>
      <c r="I143" s="20" t="str">
        <f>TRIM(C143)</f>
        <v>SP500</v>
      </c>
      <c r="J143" s="20" t="s">
        <v>14</v>
      </c>
    </row>
    <row r="144" spans="1:10" x14ac:dyDescent="0.25">
      <c r="A144" s="21">
        <v>44355</v>
      </c>
      <c r="B144" s="22" t="s">
        <v>26</v>
      </c>
      <c r="C144" s="22" t="s">
        <v>22</v>
      </c>
      <c r="D144" s="20">
        <v>4233.8100000000004</v>
      </c>
      <c r="E144" s="20">
        <v>4236.74</v>
      </c>
      <c r="F144" s="20">
        <v>4208.41</v>
      </c>
      <c r="G144" s="20">
        <v>4227.26</v>
      </c>
      <c r="H144" s="20">
        <v>3943870000</v>
      </c>
      <c r="I144" s="20" t="str">
        <f>TRIM(C144)</f>
        <v>SP500</v>
      </c>
      <c r="J144" s="20" t="s">
        <v>14</v>
      </c>
    </row>
    <row r="145" spans="1:10" x14ac:dyDescent="0.25">
      <c r="A145" s="21">
        <v>44326</v>
      </c>
      <c r="B145" s="22" t="s">
        <v>13</v>
      </c>
      <c r="C145" s="22" t="s">
        <v>22</v>
      </c>
      <c r="D145" s="20">
        <v>4228.29</v>
      </c>
      <c r="E145" s="20">
        <v>4236.3900000000003</v>
      </c>
      <c r="F145" s="20">
        <v>4188.13</v>
      </c>
      <c r="G145" s="20">
        <v>4188.43</v>
      </c>
      <c r="H145" s="20">
        <v>3678970000</v>
      </c>
      <c r="I145" s="20" t="str">
        <f>TRIM(C145)</f>
        <v>SP500</v>
      </c>
      <c r="J145" s="20" t="s">
        <v>13</v>
      </c>
    </row>
    <row r="146" spans="1:10" x14ac:dyDescent="0.25">
      <c r="A146" s="21">
        <v>44348</v>
      </c>
      <c r="B146" s="22" t="s">
        <v>26</v>
      </c>
      <c r="C146" s="22" t="s">
        <v>22</v>
      </c>
      <c r="D146" s="20">
        <v>4216.5200000000004</v>
      </c>
      <c r="E146" s="20">
        <v>4234.12</v>
      </c>
      <c r="F146" s="20">
        <v>4197.59</v>
      </c>
      <c r="G146" s="20">
        <v>4202.04</v>
      </c>
      <c r="H146" s="20">
        <v>4122960000</v>
      </c>
      <c r="I146" s="20" t="str">
        <f>TRIM(C146)</f>
        <v>SP500</v>
      </c>
      <c r="J146" s="20" t="s">
        <v>14</v>
      </c>
    </row>
    <row r="147" spans="1:10" x14ac:dyDescent="0.25">
      <c r="A147" s="21">
        <v>44351</v>
      </c>
      <c r="B147" s="22" t="s">
        <v>26</v>
      </c>
      <c r="C147" s="22" t="s">
        <v>22</v>
      </c>
      <c r="D147" s="20">
        <v>4206.05</v>
      </c>
      <c r="E147" s="20">
        <v>4233.45</v>
      </c>
      <c r="F147" s="20">
        <v>4206.05</v>
      </c>
      <c r="G147" s="20">
        <v>4229.8900000000003</v>
      </c>
      <c r="H147" s="20">
        <v>3487070000</v>
      </c>
      <c r="I147" s="20" t="str">
        <f>TRIM(C147)</f>
        <v>SP500</v>
      </c>
      <c r="J147" s="20" t="s">
        <v>14</v>
      </c>
    </row>
    <row r="148" spans="1:10" x14ac:dyDescent="0.25">
      <c r="A148" s="21">
        <v>44354</v>
      </c>
      <c r="B148" s="22" t="s">
        <v>26</v>
      </c>
      <c r="C148" s="22" t="s">
        <v>22</v>
      </c>
      <c r="D148" s="20">
        <v>4229.34</v>
      </c>
      <c r="E148" s="20">
        <v>4232.34</v>
      </c>
      <c r="F148" s="20">
        <v>4215.66</v>
      </c>
      <c r="G148" s="20">
        <v>4226.5200000000004</v>
      </c>
      <c r="H148" s="20">
        <v>3835570000</v>
      </c>
      <c r="I148" s="20" t="str">
        <f>TRIM(C148)</f>
        <v>SP500</v>
      </c>
      <c r="J148" s="20" t="s">
        <v>14</v>
      </c>
    </row>
    <row r="149" spans="1:10" x14ac:dyDescent="0.25">
      <c r="A149" s="21">
        <v>44364</v>
      </c>
      <c r="B149" s="22" t="s">
        <v>26</v>
      </c>
      <c r="C149" s="22" t="s">
        <v>22</v>
      </c>
      <c r="D149" s="20">
        <v>4220.37</v>
      </c>
      <c r="E149" s="20">
        <v>4232.29</v>
      </c>
      <c r="F149" s="20">
        <v>4196.05</v>
      </c>
      <c r="G149" s="20">
        <v>4221.8599999999997</v>
      </c>
      <c r="H149" s="20">
        <v>3952110000</v>
      </c>
      <c r="I149" s="20" t="str">
        <f>TRIM(C149)</f>
        <v>SP500</v>
      </c>
      <c r="J149" s="20" t="s">
        <v>14</v>
      </c>
    </row>
    <row r="150" spans="1:10" x14ac:dyDescent="0.25">
      <c r="A150" s="21">
        <v>44368</v>
      </c>
      <c r="B150" s="22" t="s">
        <v>26</v>
      </c>
      <c r="C150" s="22" t="s">
        <v>22</v>
      </c>
      <c r="D150" s="20">
        <v>4173.3999999999996</v>
      </c>
      <c r="E150" s="20">
        <v>4226.24</v>
      </c>
      <c r="F150" s="20">
        <v>4173.3999999999996</v>
      </c>
      <c r="G150" s="20">
        <v>4224.79</v>
      </c>
      <c r="H150" s="20">
        <v>3391740000</v>
      </c>
      <c r="I150" s="20" t="str">
        <f>TRIM(C150)</f>
        <v>SP500</v>
      </c>
      <c r="J150" s="20" t="s">
        <v>14</v>
      </c>
    </row>
    <row r="151" spans="1:10" x14ac:dyDescent="0.25">
      <c r="A151" s="21">
        <v>44315</v>
      </c>
      <c r="B151" s="22" t="s">
        <v>25</v>
      </c>
      <c r="C151" s="22" t="s">
        <v>22</v>
      </c>
      <c r="D151" s="20">
        <v>4206.1400000000003</v>
      </c>
      <c r="E151" s="20">
        <v>4218.78</v>
      </c>
      <c r="F151" s="20">
        <v>4176.8100000000004</v>
      </c>
      <c r="G151" s="20">
        <v>4211.47</v>
      </c>
      <c r="H151" s="20">
        <v>4288940000</v>
      </c>
      <c r="I151" s="20" t="str">
        <f>TRIM(C151)</f>
        <v>SP500</v>
      </c>
      <c r="J151" s="20" t="s">
        <v>12</v>
      </c>
    </row>
    <row r="152" spans="1:10" x14ac:dyDescent="0.25">
      <c r="A152" s="21">
        <v>44344</v>
      </c>
      <c r="B152" s="22" t="s">
        <v>13</v>
      </c>
      <c r="C152" s="22" t="s">
        <v>22</v>
      </c>
      <c r="D152" s="20">
        <v>4210.7700000000004</v>
      </c>
      <c r="E152" s="20">
        <v>4218.3599999999997</v>
      </c>
      <c r="F152" s="20">
        <v>4203.57</v>
      </c>
      <c r="G152" s="20">
        <v>4204.1099999999997</v>
      </c>
      <c r="H152" s="20">
        <v>4199270000</v>
      </c>
      <c r="I152" s="20" t="str">
        <f>TRIM(C152)</f>
        <v>SP500</v>
      </c>
      <c r="J152" s="20" t="s">
        <v>13</v>
      </c>
    </row>
    <row r="153" spans="1:10" x14ac:dyDescent="0.25">
      <c r="A153" s="21">
        <v>44349</v>
      </c>
      <c r="B153" s="22" t="s">
        <v>26</v>
      </c>
      <c r="C153" s="22" t="s">
        <v>22</v>
      </c>
      <c r="D153" s="20">
        <v>4206.82</v>
      </c>
      <c r="E153" s="20">
        <v>4217.37</v>
      </c>
      <c r="F153" s="20">
        <v>4198.2700000000004</v>
      </c>
      <c r="G153" s="20">
        <v>4208.12</v>
      </c>
      <c r="H153" s="20">
        <v>4860930000</v>
      </c>
      <c r="I153" s="20" t="str">
        <f>TRIM(C153)</f>
        <v>SP500</v>
      </c>
      <c r="J153" s="20" t="s">
        <v>14</v>
      </c>
    </row>
    <row r="154" spans="1:10" x14ac:dyDescent="0.25">
      <c r="A154" s="21">
        <v>44341</v>
      </c>
      <c r="B154" s="22" t="s">
        <v>13</v>
      </c>
      <c r="C154" s="22" t="s">
        <v>22</v>
      </c>
      <c r="D154" s="20">
        <v>4205.9399999999996</v>
      </c>
      <c r="E154" s="20">
        <v>4213.42</v>
      </c>
      <c r="F154" s="20">
        <v>4182.5200000000004</v>
      </c>
      <c r="G154" s="20">
        <v>4188.13</v>
      </c>
      <c r="H154" s="20">
        <v>3420870000</v>
      </c>
      <c r="I154" s="20" t="str">
        <f>TRIM(C154)</f>
        <v>SP500</v>
      </c>
      <c r="J154" s="20" t="s">
        <v>13</v>
      </c>
    </row>
    <row r="155" spans="1:10" x14ac:dyDescent="0.25">
      <c r="A155" s="21">
        <v>44343</v>
      </c>
      <c r="B155" s="22" t="s">
        <v>13</v>
      </c>
      <c r="C155" s="22" t="s">
        <v>22</v>
      </c>
      <c r="D155" s="20">
        <v>4201.9399999999996</v>
      </c>
      <c r="E155" s="20">
        <v>4213.38</v>
      </c>
      <c r="F155" s="20">
        <v>4197.78</v>
      </c>
      <c r="G155" s="20">
        <v>4200.88</v>
      </c>
      <c r="H155" s="20">
        <v>5201110000</v>
      </c>
      <c r="I155" s="20" t="str">
        <f>TRIM(C155)</f>
        <v>SP500</v>
      </c>
      <c r="J155" s="20" t="s">
        <v>13</v>
      </c>
    </row>
    <row r="156" spans="1:10" x14ac:dyDescent="0.25">
      <c r="A156" s="21">
        <v>44340</v>
      </c>
      <c r="B156" s="22" t="s">
        <v>13</v>
      </c>
      <c r="C156" s="22" t="s">
        <v>22</v>
      </c>
      <c r="D156" s="20">
        <v>4170.16</v>
      </c>
      <c r="E156" s="20">
        <v>4209.5200000000004</v>
      </c>
      <c r="F156" s="20">
        <v>4170.16</v>
      </c>
      <c r="G156" s="20">
        <v>4197.05</v>
      </c>
      <c r="H156" s="20">
        <v>2947400000</v>
      </c>
      <c r="I156" s="20" t="str">
        <f>TRIM(C156)</f>
        <v>SP500</v>
      </c>
      <c r="J156" s="20" t="s">
        <v>13</v>
      </c>
    </row>
    <row r="157" spans="1:10" x14ac:dyDescent="0.25">
      <c r="A157" s="21">
        <v>44319</v>
      </c>
      <c r="B157" s="22" t="s">
        <v>13</v>
      </c>
      <c r="C157" s="22" t="s">
        <v>22</v>
      </c>
      <c r="D157" s="20">
        <v>4191.9799999999996</v>
      </c>
      <c r="E157" s="20">
        <v>4209.3900000000003</v>
      </c>
      <c r="F157" s="20">
        <v>4188.03</v>
      </c>
      <c r="G157" s="20">
        <v>4192.66</v>
      </c>
      <c r="H157" s="20">
        <v>4061170000</v>
      </c>
      <c r="I157" s="20" t="str">
        <f>TRIM(C157)</f>
        <v>SP500</v>
      </c>
      <c r="J157" s="20" t="s">
        <v>13</v>
      </c>
    </row>
    <row r="158" spans="1:10" x14ac:dyDescent="0.25">
      <c r="A158" s="21">
        <v>44365</v>
      </c>
      <c r="B158" s="22" t="s">
        <v>26</v>
      </c>
      <c r="C158" s="22" t="s">
        <v>22</v>
      </c>
      <c r="D158" s="20">
        <v>4204.78</v>
      </c>
      <c r="E158" s="20">
        <v>4204.78</v>
      </c>
      <c r="F158" s="20">
        <v>4164.3999999999996</v>
      </c>
      <c r="G158" s="20">
        <v>4166.45</v>
      </c>
      <c r="H158" s="20">
        <v>6084980000</v>
      </c>
      <c r="I158" s="20" t="str">
        <f>TRIM(C158)</f>
        <v>SP500</v>
      </c>
      <c r="J158" s="20" t="s">
        <v>14</v>
      </c>
    </row>
    <row r="159" spans="1:10" x14ac:dyDescent="0.25">
      <c r="A159" s="21">
        <v>44350</v>
      </c>
      <c r="B159" s="22" t="s">
        <v>26</v>
      </c>
      <c r="C159" s="22" t="s">
        <v>22</v>
      </c>
      <c r="D159" s="20">
        <v>4191.43</v>
      </c>
      <c r="E159" s="20">
        <v>4204.3900000000003</v>
      </c>
      <c r="F159" s="20">
        <v>4167.93</v>
      </c>
      <c r="G159" s="20">
        <v>4192.8500000000004</v>
      </c>
      <c r="H159" s="20">
        <v>4579450000</v>
      </c>
      <c r="I159" s="20" t="str">
        <f>TRIM(C159)</f>
        <v>SP500</v>
      </c>
      <c r="J159" s="20" t="s">
        <v>14</v>
      </c>
    </row>
    <row r="160" spans="1:10" x14ac:dyDescent="0.25">
      <c r="A160" s="21">
        <v>44322</v>
      </c>
      <c r="B160" s="22" t="s">
        <v>13</v>
      </c>
      <c r="C160" s="22" t="s">
        <v>22</v>
      </c>
      <c r="D160" s="20">
        <v>4169.1400000000003</v>
      </c>
      <c r="E160" s="20">
        <v>4202.7</v>
      </c>
      <c r="F160" s="20">
        <v>4147.33</v>
      </c>
      <c r="G160" s="20">
        <v>4201.62</v>
      </c>
      <c r="H160" s="20">
        <v>4504860000</v>
      </c>
      <c r="I160" s="20" t="str">
        <f>TRIM(C160)</f>
        <v>SP500</v>
      </c>
      <c r="J160" s="20" t="s">
        <v>13</v>
      </c>
    </row>
    <row r="161" spans="1:10" x14ac:dyDescent="0.25">
      <c r="A161" s="21">
        <v>44342</v>
      </c>
      <c r="B161" s="22" t="s">
        <v>13</v>
      </c>
      <c r="C161" s="22" t="s">
        <v>22</v>
      </c>
      <c r="D161" s="20">
        <v>4191.59</v>
      </c>
      <c r="E161" s="20">
        <v>4202.6099999999997</v>
      </c>
      <c r="F161" s="20">
        <v>4184.1099999999997</v>
      </c>
      <c r="G161" s="20">
        <v>4195.99</v>
      </c>
      <c r="H161" s="20">
        <v>3674490000</v>
      </c>
      <c r="I161" s="20" t="str">
        <f>TRIM(C161)</f>
        <v>SP500</v>
      </c>
      <c r="J161" s="20" t="s">
        <v>13</v>
      </c>
    </row>
    <row r="162" spans="1:10" x14ac:dyDescent="0.25">
      <c r="A162" s="21">
        <v>44314</v>
      </c>
      <c r="B162" s="22" t="s">
        <v>25</v>
      </c>
      <c r="C162" s="22" t="s">
        <v>22</v>
      </c>
      <c r="D162" s="20">
        <v>4185.1400000000003</v>
      </c>
      <c r="E162" s="20">
        <v>4201.53</v>
      </c>
      <c r="F162" s="20">
        <v>4181.78</v>
      </c>
      <c r="G162" s="20">
        <v>4183.18</v>
      </c>
      <c r="H162" s="20">
        <v>3772390000</v>
      </c>
      <c r="I162" s="20" t="str">
        <f>TRIM(C162)</f>
        <v>SP500</v>
      </c>
      <c r="J162" s="20" t="s">
        <v>12</v>
      </c>
    </row>
    <row r="163" spans="1:10" x14ac:dyDescent="0.25">
      <c r="A163" s="21">
        <v>44316</v>
      </c>
      <c r="B163" s="22" t="s">
        <v>25</v>
      </c>
      <c r="C163" s="22" t="s">
        <v>22</v>
      </c>
      <c r="D163" s="20">
        <v>4198.1000000000004</v>
      </c>
      <c r="E163" s="20">
        <v>4198.1000000000004</v>
      </c>
      <c r="F163" s="20">
        <v>4174.8500000000004</v>
      </c>
      <c r="G163" s="20">
        <v>4181.17</v>
      </c>
      <c r="H163" s="20">
        <v>4273680000</v>
      </c>
      <c r="I163" s="20" t="str">
        <f>TRIM(C163)</f>
        <v>SP500</v>
      </c>
      <c r="J163" s="20" t="s">
        <v>12</v>
      </c>
    </row>
    <row r="164" spans="1:10" x14ac:dyDescent="0.25">
      <c r="A164" s="21">
        <v>44312</v>
      </c>
      <c r="B164" s="22" t="s">
        <v>25</v>
      </c>
      <c r="C164" s="22" t="s">
        <v>22</v>
      </c>
      <c r="D164" s="20">
        <v>4185.03</v>
      </c>
      <c r="E164" s="20">
        <v>4194.1899999999996</v>
      </c>
      <c r="F164" s="20">
        <v>4182.3599999999997</v>
      </c>
      <c r="G164" s="20">
        <v>4187.62</v>
      </c>
      <c r="H164" s="20">
        <v>3738920000</v>
      </c>
      <c r="I164" s="20" t="str">
        <f>TRIM(C164)</f>
        <v>SP500</v>
      </c>
      <c r="J164" s="20" t="s">
        <v>12</v>
      </c>
    </row>
    <row r="165" spans="1:10" x14ac:dyDescent="0.25">
      <c r="A165" s="21">
        <v>44309</v>
      </c>
      <c r="B165" s="22" t="s">
        <v>25</v>
      </c>
      <c r="C165" s="22" t="s">
        <v>22</v>
      </c>
      <c r="D165" s="20">
        <v>4138.78</v>
      </c>
      <c r="E165" s="20">
        <v>4194.17</v>
      </c>
      <c r="F165" s="20">
        <v>4138.78</v>
      </c>
      <c r="G165" s="20">
        <v>4180.17</v>
      </c>
      <c r="H165" s="20">
        <v>3568080000</v>
      </c>
      <c r="I165" s="20" t="str">
        <f>TRIM(C165)</f>
        <v>SP500</v>
      </c>
      <c r="J165" s="20" t="s">
        <v>12</v>
      </c>
    </row>
    <row r="166" spans="1:10" x14ac:dyDescent="0.25">
      <c r="A166" s="21">
        <v>44313</v>
      </c>
      <c r="B166" s="22" t="s">
        <v>25</v>
      </c>
      <c r="C166" s="22" t="s">
        <v>22</v>
      </c>
      <c r="D166" s="20">
        <v>4188.25</v>
      </c>
      <c r="E166" s="20">
        <v>4193.3500000000004</v>
      </c>
      <c r="F166" s="20">
        <v>4176.22</v>
      </c>
      <c r="G166" s="20">
        <v>4186.72</v>
      </c>
      <c r="H166" s="20">
        <v>3703240000</v>
      </c>
      <c r="I166" s="20" t="str">
        <f>TRIM(C166)</f>
        <v>SP500</v>
      </c>
      <c r="J166" s="20" t="s">
        <v>12</v>
      </c>
    </row>
    <row r="167" spans="1:10" x14ac:dyDescent="0.25">
      <c r="A167" s="21">
        <v>44302</v>
      </c>
      <c r="B167" s="22" t="s">
        <v>25</v>
      </c>
      <c r="C167" s="22" t="s">
        <v>22</v>
      </c>
      <c r="D167" s="20">
        <v>4174.1400000000003</v>
      </c>
      <c r="E167" s="20">
        <v>4191.3100000000004</v>
      </c>
      <c r="F167" s="20">
        <v>4170.75</v>
      </c>
      <c r="G167" s="20">
        <v>4185.47</v>
      </c>
      <c r="H167" s="20">
        <v>4157430000</v>
      </c>
      <c r="I167" s="20" t="str">
        <f>TRIM(C167)</f>
        <v>SP500</v>
      </c>
      <c r="J167" s="20" t="s">
        <v>12</v>
      </c>
    </row>
    <row r="168" spans="1:10" x14ac:dyDescent="0.25">
      <c r="A168" s="21">
        <v>44337</v>
      </c>
      <c r="B168" s="22" t="s">
        <v>13</v>
      </c>
      <c r="C168" s="22" t="s">
        <v>22</v>
      </c>
      <c r="D168" s="20">
        <v>4168.6099999999997</v>
      </c>
      <c r="E168" s="20">
        <v>4188.72</v>
      </c>
      <c r="F168" s="20">
        <v>4151.72</v>
      </c>
      <c r="G168" s="20">
        <v>4155.8599999999997</v>
      </c>
      <c r="H168" s="20">
        <v>3344620000</v>
      </c>
      <c r="I168" s="20" t="str">
        <f>TRIM(C168)</f>
        <v>SP500</v>
      </c>
      <c r="J168" s="20" t="s">
        <v>13</v>
      </c>
    </row>
    <row r="169" spans="1:10" x14ac:dyDescent="0.25">
      <c r="A169" s="21">
        <v>44321</v>
      </c>
      <c r="B169" s="22" t="s">
        <v>13</v>
      </c>
      <c r="C169" s="22" t="s">
        <v>22</v>
      </c>
      <c r="D169" s="20">
        <v>4177.0600000000004</v>
      </c>
      <c r="E169" s="20">
        <v>4187.72</v>
      </c>
      <c r="F169" s="20">
        <v>4160.9399999999996</v>
      </c>
      <c r="G169" s="20">
        <v>4167.59</v>
      </c>
      <c r="H169" s="20">
        <v>4029050000</v>
      </c>
      <c r="I169" s="20" t="str">
        <f>TRIM(C169)</f>
        <v>SP500</v>
      </c>
      <c r="J169" s="20" t="s">
        <v>13</v>
      </c>
    </row>
    <row r="170" spans="1:10" x14ac:dyDescent="0.25">
      <c r="A170" s="21">
        <v>44330</v>
      </c>
      <c r="B170" s="22" t="s">
        <v>13</v>
      </c>
      <c r="C170" s="22" t="s">
        <v>22</v>
      </c>
      <c r="D170" s="20">
        <v>4129.58</v>
      </c>
      <c r="E170" s="20">
        <v>4183.13</v>
      </c>
      <c r="F170" s="20">
        <v>4129.58</v>
      </c>
      <c r="G170" s="20">
        <v>4173.8500000000004</v>
      </c>
      <c r="H170" s="20">
        <v>3251920000</v>
      </c>
      <c r="I170" s="20" t="str">
        <f>TRIM(C170)</f>
        <v>SP500</v>
      </c>
      <c r="J170" s="20" t="s">
        <v>13</v>
      </c>
    </row>
    <row r="171" spans="1:10" x14ac:dyDescent="0.25">
      <c r="A171" s="21">
        <v>44305</v>
      </c>
      <c r="B171" s="22" t="s">
        <v>25</v>
      </c>
      <c r="C171" s="22" t="s">
        <v>22</v>
      </c>
      <c r="D171" s="20">
        <v>4179.8</v>
      </c>
      <c r="E171" s="20">
        <v>4180.8100000000004</v>
      </c>
      <c r="F171" s="20">
        <v>4150.47</v>
      </c>
      <c r="G171" s="20">
        <v>4163.26</v>
      </c>
      <c r="H171" s="20">
        <v>3788020000</v>
      </c>
      <c r="I171" s="20" t="str">
        <f>TRIM(C171)</f>
        <v>SP500</v>
      </c>
      <c r="J171" s="20" t="s">
        <v>12</v>
      </c>
    </row>
    <row r="172" spans="1:10" x14ac:dyDescent="0.25">
      <c r="A172" s="21">
        <v>44308</v>
      </c>
      <c r="B172" s="22" t="s">
        <v>25</v>
      </c>
      <c r="C172" s="22" t="s">
        <v>22</v>
      </c>
      <c r="D172" s="20">
        <v>4170.46</v>
      </c>
      <c r="E172" s="20">
        <v>4179.57</v>
      </c>
      <c r="F172" s="20">
        <v>4123.6899999999996</v>
      </c>
      <c r="G172" s="20">
        <v>4134.9799999999996</v>
      </c>
      <c r="H172" s="20">
        <v>4235040000</v>
      </c>
      <c r="I172" s="20" t="str">
        <f>TRIM(C172)</f>
        <v>SP500</v>
      </c>
      <c r="J172" s="20" t="s">
        <v>12</v>
      </c>
    </row>
    <row r="173" spans="1:10" x14ac:dyDescent="0.25">
      <c r="A173" s="21">
        <v>44320</v>
      </c>
      <c r="B173" s="22" t="s">
        <v>13</v>
      </c>
      <c r="C173" s="22" t="s">
        <v>22</v>
      </c>
      <c r="D173" s="20">
        <v>4179.04</v>
      </c>
      <c r="E173" s="20">
        <v>4179.04</v>
      </c>
      <c r="F173" s="20">
        <v>4128.59</v>
      </c>
      <c r="G173" s="20">
        <v>4164.66</v>
      </c>
      <c r="H173" s="20">
        <v>4441080000</v>
      </c>
      <c r="I173" s="20" t="str">
        <f>TRIM(C173)</f>
        <v>SP500</v>
      </c>
      <c r="J173" s="20" t="s">
        <v>13</v>
      </c>
    </row>
    <row r="174" spans="1:10" x14ac:dyDescent="0.25">
      <c r="A174" s="21">
        <v>44307</v>
      </c>
      <c r="B174" s="22" t="s">
        <v>25</v>
      </c>
      <c r="C174" s="22" t="s">
        <v>22</v>
      </c>
      <c r="D174" s="20">
        <v>4128.42</v>
      </c>
      <c r="E174" s="20">
        <v>4175.0200000000004</v>
      </c>
      <c r="F174" s="20">
        <v>4126.3500000000004</v>
      </c>
      <c r="G174" s="20">
        <v>4173.42</v>
      </c>
      <c r="H174" s="20">
        <v>3865820000</v>
      </c>
      <c r="I174" s="20" t="str">
        <f>TRIM(C174)</f>
        <v>SP500</v>
      </c>
      <c r="J174" s="20" t="s">
        <v>12</v>
      </c>
    </row>
    <row r="175" spans="1:10" x14ac:dyDescent="0.25">
      <c r="A175" s="21">
        <v>44301</v>
      </c>
      <c r="B175" s="22" t="s">
        <v>25</v>
      </c>
      <c r="C175" s="22" t="s">
        <v>22</v>
      </c>
      <c r="D175" s="20">
        <v>4139.76</v>
      </c>
      <c r="E175" s="20">
        <v>4173.49</v>
      </c>
      <c r="F175" s="20">
        <v>4139.76</v>
      </c>
      <c r="G175" s="20">
        <v>4170.42</v>
      </c>
      <c r="H175" s="20">
        <v>4027680000</v>
      </c>
      <c r="I175" s="20" t="str">
        <f>TRIM(C175)</f>
        <v>SP500</v>
      </c>
      <c r="J175" s="20" t="s">
        <v>12</v>
      </c>
    </row>
    <row r="176" spans="1:10" x14ac:dyDescent="0.25">
      <c r="A176" s="21">
        <v>44336</v>
      </c>
      <c r="B176" s="22" t="s">
        <v>13</v>
      </c>
      <c r="C176" s="22" t="s">
        <v>22</v>
      </c>
      <c r="D176" s="20">
        <v>4121.97</v>
      </c>
      <c r="E176" s="20">
        <v>4172.8</v>
      </c>
      <c r="F176" s="20">
        <v>4121.97</v>
      </c>
      <c r="G176" s="20">
        <v>4159.12</v>
      </c>
      <c r="H176" s="20">
        <v>3019060000</v>
      </c>
      <c r="I176" s="20" t="str">
        <f>TRIM(C176)</f>
        <v>SP500</v>
      </c>
      <c r="J176" s="20" t="s">
        <v>13</v>
      </c>
    </row>
    <row r="177" spans="1:10" x14ac:dyDescent="0.25">
      <c r="A177" s="21">
        <v>44333</v>
      </c>
      <c r="B177" s="22" t="s">
        <v>13</v>
      </c>
      <c r="C177" s="22" t="s">
        <v>22</v>
      </c>
      <c r="D177" s="20">
        <v>4169.92</v>
      </c>
      <c r="E177" s="20">
        <v>4171.92</v>
      </c>
      <c r="F177" s="20">
        <v>4142.6899999999996</v>
      </c>
      <c r="G177" s="20">
        <v>4163.29</v>
      </c>
      <c r="H177" s="20">
        <v>3307130000</v>
      </c>
      <c r="I177" s="20" t="str">
        <f>TRIM(C177)</f>
        <v>SP500</v>
      </c>
      <c r="J177" s="20" t="s">
        <v>13</v>
      </c>
    </row>
    <row r="178" spans="1:10" x14ac:dyDescent="0.25">
      <c r="A178" s="21">
        <v>44334</v>
      </c>
      <c r="B178" s="22" t="s">
        <v>13</v>
      </c>
      <c r="C178" s="22" t="s">
        <v>22</v>
      </c>
      <c r="D178" s="20">
        <v>4165.9399999999996</v>
      </c>
      <c r="E178" s="20">
        <v>4169.1499999999996</v>
      </c>
      <c r="F178" s="20">
        <v>4125.99</v>
      </c>
      <c r="G178" s="20">
        <v>4127.83</v>
      </c>
      <c r="H178" s="20">
        <v>3559790000</v>
      </c>
      <c r="I178" s="20" t="str">
        <f>TRIM(C178)</f>
        <v>SP500</v>
      </c>
      <c r="J178" s="20" t="s">
        <v>13</v>
      </c>
    </row>
    <row r="179" spans="1:10" x14ac:dyDescent="0.25">
      <c r="A179" s="21">
        <v>44327</v>
      </c>
      <c r="B179" s="22" t="s">
        <v>13</v>
      </c>
      <c r="C179" s="22" t="s">
        <v>22</v>
      </c>
      <c r="D179" s="20">
        <v>4150.34</v>
      </c>
      <c r="E179" s="20">
        <v>4162.04</v>
      </c>
      <c r="F179" s="20">
        <v>4111.53</v>
      </c>
      <c r="G179" s="20">
        <v>4152.1000000000004</v>
      </c>
      <c r="H179" s="20">
        <v>3593110000</v>
      </c>
      <c r="I179" s="20" t="str">
        <f>TRIM(C179)</f>
        <v>SP500</v>
      </c>
      <c r="J179" s="20" t="s">
        <v>13</v>
      </c>
    </row>
    <row r="180" spans="1:10" x14ac:dyDescent="0.25">
      <c r="A180" s="21">
        <v>44306</v>
      </c>
      <c r="B180" s="22" t="s">
        <v>25</v>
      </c>
      <c r="C180" s="22" t="s">
        <v>22</v>
      </c>
      <c r="D180" s="20">
        <v>4159.18</v>
      </c>
      <c r="E180" s="20">
        <v>4159.18</v>
      </c>
      <c r="F180" s="20">
        <v>4118.38</v>
      </c>
      <c r="G180" s="20">
        <v>4134.9399999999996</v>
      </c>
      <c r="H180" s="20">
        <v>4338230000</v>
      </c>
      <c r="I180" s="20" t="str">
        <f>TRIM(C180)</f>
        <v>SP500</v>
      </c>
      <c r="J180" s="20" t="s">
        <v>12</v>
      </c>
    </row>
    <row r="181" spans="1:10" x14ac:dyDescent="0.25">
      <c r="A181" s="21">
        <v>44300</v>
      </c>
      <c r="B181" s="22" t="s">
        <v>25</v>
      </c>
      <c r="C181" s="22" t="s">
        <v>22</v>
      </c>
      <c r="D181" s="20">
        <v>4141.58</v>
      </c>
      <c r="E181" s="20">
        <v>4151.6899999999996</v>
      </c>
      <c r="F181" s="20">
        <v>4120.87</v>
      </c>
      <c r="G181" s="20">
        <v>4124.66</v>
      </c>
      <c r="H181" s="20">
        <v>3976540000</v>
      </c>
      <c r="I181" s="20" t="str">
        <f>TRIM(C181)</f>
        <v>SP500</v>
      </c>
      <c r="J181" s="20" t="s">
        <v>12</v>
      </c>
    </row>
    <row r="182" spans="1:10" x14ac:dyDescent="0.25">
      <c r="A182" s="21">
        <v>44299</v>
      </c>
      <c r="B182" s="22" t="s">
        <v>25</v>
      </c>
      <c r="C182" s="22" t="s">
        <v>22</v>
      </c>
      <c r="D182" s="20">
        <v>4130.1000000000004</v>
      </c>
      <c r="E182" s="20">
        <v>4148</v>
      </c>
      <c r="F182" s="20">
        <v>4124.43</v>
      </c>
      <c r="G182" s="20">
        <v>4141.59</v>
      </c>
      <c r="H182" s="20">
        <v>3728440000</v>
      </c>
      <c r="I182" s="20" t="str">
        <f>TRIM(C182)</f>
        <v>SP500</v>
      </c>
      <c r="J182" s="20" t="s">
        <v>12</v>
      </c>
    </row>
    <row r="183" spans="1:10" x14ac:dyDescent="0.25">
      <c r="A183" s="21">
        <v>44328</v>
      </c>
      <c r="B183" s="22" t="s">
        <v>13</v>
      </c>
      <c r="C183" s="22" t="s">
        <v>22</v>
      </c>
      <c r="D183" s="20">
        <v>4130.55</v>
      </c>
      <c r="E183" s="20">
        <v>4134.7299999999996</v>
      </c>
      <c r="F183" s="20">
        <v>4056.88</v>
      </c>
      <c r="G183" s="20">
        <v>4063.04</v>
      </c>
      <c r="H183" s="20">
        <v>3735080000</v>
      </c>
      <c r="I183" s="20" t="str">
        <f>TRIM(C183)</f>
        <v>SP500</v>
      </c>
      <c r="J183" s="20" t="s">
        <v>13</v>
      </c>
    </row>
    <row r="184" spans="1:10" x14ac:dyDescent="0.25">
      <c r="A184" s="21">
        <v>44298</v>
      </c>
      <c r="B184" s="22" t="s">
        <v>25</v>
      </c>
      <c r="C184" s="22" t="s">
        <v>22</v>
      </c>
      <c r="D184" s="20">
        <v>4124.71</v>
      </c>
      <c r="E184" s="20">
        <v>4131.76</v>
      </c>
      <c r="F184" s="20">
        <v>4114.82</v>
      </c>
      <c r="G184" s="20">
        <v>4127.99</v>
      </c>
      <c r="H184" s="20">
        <v>3578500000</v>
      </c>
      <c r="I184" s="20" t="str">
        <f>TRIM(C184)</f>
        <v>SP500</v>
      </c>
      <c r="J184" s="20" t="s">
        <v>12</v>
      </c>
    </row>
    <row r="185" spans="1:10" x14ac:dyDescent="0.25">
      <c r="A185" s="21">
        <v>44329</v>
      </c>
      <c r="B185" s="22" t="s">
        <v>13</v>
      </c>
      <c r="C185" s="22" t="s">
        <v>22</v>
      </c>
      <c r="D185" s="20">
        <v>4074.99</v>
      </c>
      <c r="E185" s="20">
        <v>4131.58</v>
      </c>
      <c r="F185" s="20">
        <v>4074.99</v>
      </c>
      <c r="G185" s="20">
        <v>4112.5</v>
      </c>
      <c r="H185" s="20">
        <v>3687780000</v>
      </c>
      <c r="I185" s="20" t="str">
        <f>TRIM(C185)</f>
        <v>SP500</v>
      </c>
      <c r="J185" s="20" t="s">
        <v>13</v>
      </c>
    </row>
    <row r="186" spans="1:10" x14ac:dyDescent="0.25">
      <c r="A186" s="21">
        <v>44295</v>
      </c>
      <c r="B186" s="22" t="s">
        <v>25</v>
      </c>
      <c r="C186" s="22" t="s">
        <v>22</v>
      </c>
      <c r="D186" s="20">
        <v>4096.1099999999997</v>
      </c>
      <c r="E186" s="20">
        <v>4129.4799999999996</v>
      </c>
      <c r="F186" s="20">
        <v>4095.51</v>
      </c>
      <c r="G186" s="20">
        <v>4128.8</v>
      </c>
      <c r="H186" s="20">
        <v>3634910000</v>
      </c>
      <c r="I186" s="20" t="str">
        <f>TRIM(C186)</f>
        <v>SP500</v>
      </c>
      <c r="J186" s="20" t="s">
        <v>12</v>
      </c>
    </row>
    <row r="187" spans="1:10" x14ac:dyDescent="0.25">
      <c r="A187" s="21">
        <v>44335</v>
      </c>
      <c r="B187" s="22" t="s">
        <v>13</v>
      </c>
      <c r="C187" s="22" t="s">
        <v>22</v>
      </c>
      <c r="D187" s="20">
        <v>4098.45</v>
      </c>
      <c r="E187" s="20">
        <v>4116.93</v>
      </c>
      <c r="F187" s="20">
        <v>4061.41</v>
      </c>
      <c r="G187" s="20">
        <v>4115.68</v>
      </c>
      <c r="H187" s="20">
        <v>3485550000</v>
      </c>
      <c r="I187" s="20" t="str">
        <f>TRIM(C187)</f>
        <v>SP500</v>
      </c>
      <c r="J187" s="20" t="s">
        <v>13</v>
      </c>
    </row>
    <row r="188" spans="1:10" x14ac:dyDescent="0.25">
      <c r="A188" s="21">
        <v>44294</v>
      </c>
      <c r="B188" s="22" t="s">
        <v>25</v>
      </c>
      <c r="C188" s="22" t="s">
        <v>22</v>
      </c>
      <c r="D188" s="20">
        <v>4089.95</v>
      </c>
      <c r="E188" s="20">
        <v>4098.1899999999996</v>
      </c>
      <c r="F188" s="20">
        <v>4082.54</v>
      </c>
      <c r="G188" s="20">
        <v>4097.17</v>
      </c>
      <c r="H188" s="20">
        <v>3901910000</v>
      </c>
      <c r="I188" s="20" t="str">
        <f>TRIM(C188)</f>
        <v>SP500</v>
      </c>
      <c r="J188" s="20" t="s">
        <v>12</v>
      </c>
    </row>
    <row r="189" spans="1:10" x14ac:dyDescent="0.25">
      <c r="A189" s="21">
        <v>44292</v>
      </c>
      <c r="B189" s="22" t="s">
        <v>25</v>
      </c>
      <c r="C189" s="22" t="s">
        <v>22</v>
      </c>
      <c r="D189" s="20">
        <v>4075.57</v>
      </c>
      <c r="E189" s="20">
        <v>4086.23</v>
      </c>
      <c r="F189" s="20">
        <v>4068.14</v>
      </c>
      <c r="G189" s="20">
        <v>4073.94</v>
      </c>
      <c r="H189" s="20">
        <v>4027880000</v>
      </c>
      <c r="I189" s="20" t="str">
        <f>TRIM(C189)</f>
        <v>SP500</v>
      </c>
      <c r="J189" s="20" t="s">
        <v>12</v>
      </c>
    </row>
    <row r="190" spans="1:10" x14ac:dyDescent="0.25">
      <c r="A190" s="21">
        <v>44291</v>
      </c>
      <c r="B190" s="22" t="s">
        <v>25</v>
      </c>
      <c r="C190" s="22" t="s">
        <v>22</v>
      </c>
      <c r="D190" s="20">
        <v>4034.44</v>
      </c>
      <c r="E190" s="20">
        <v>4083.42</v>
      </c>
      <c r="F190" s="20">
        <v>4034.44</v>
      </c>
      <c r="G190" s="20">
        <v>4077.91</v>
      </c>
      <c r="H190" s="20">
        <v>3999760000</v>
      </c>
      <c r="I190" s="20" t="str">
        <f>TRIM(C190)</f>
        <v>SP500</v>
      </c>
      <c r="J190" s="20" t="s">
        <v>12</v>
      </c>
    </row>
    <row r="191" spans="1:10" x14ac:dyDescent="0.25">
      <c r="A191" s="21">
        <v>44293</v>
      </c>
      <c r="B191" s="22" t="s">
        <v>25</v>
      </c>
      <c r="C191" s="22" t="s">
        <v>22</v>
      </c>
      <c r="D191" s="20">
        <v>4074.29</v>
      </c>
      <c r="E191" s="20">
        <v>4083.13</v>
      </c>
      <c r="F191" s="20">
        <v>4068.31</v>
      </c>
      <c r="G191" s="20">
        <v>4079.95</v>
      </c>
      <c r="H191" s="20">
        <v>4112640000</v>
      </c>
      <c r="I191" s="20" t="str">
        <f>TRIM(C191)</f>
        <v>SP500</v>
      </c>
      <c r="J191" s="20" t="s">
        <v>12</v>
      </c>
    </row>
    <row r="192" spans="1:10" x14ac:dyDescent="0.25">
      <c r="A192" s="21">
        <v>44287</v>
      </c>
      <c r="B192" s="22" t="s">
        <v>25</v>
      </c>
      <c r="C192" s="22" t="s">
        <v>22</v>
      </c>
      <c r="D192" s="20">
        <v>3992.78</v>
      </c>
      <c r="E192" s="20">
        <v>4020.63</v>
      </c>
      <c r="F192" s="20">
        <v>3992.78</v>
      </c>
      <c r="G192" s="20">
        <v>4019.87</v>
      </c>
      <c r="H192" s="20">
        <v>4151240000</v>
      </c>
      <c r="I192" s="20" t="str">
        <f>TRIM(C192)</f>
        <v>SP500</v>
      </c>
      <c r="J192" s="20" t="s">
        <v>12</v>
      </c>
    </row>
    <row r="193" spans="1:10" x14ac:dyDescent="0.25">
      <c r="A193" s="21">
        <v>44286</v>
      </c>
      <c r="B193" s="22" t="s">
        <v>24</v>
      </c>
      <c r="C193" s="22" t="s">
        <v>22</v>
      </c>
      <c r="D193" s="20">
        <v>3967.25</v>
      </c>
      <c r="E193" s="20">
        <v>3994.41</v>
      </c>
      <c r="F193" s="20">
        <v>3966.98</v>
      </c>
      <c r="G193" s="20">
        <v>3972.89</v>
      </c>
      <c r="H193" s="20">
        <v>4564980000</v>
      </c>
      <c r="I193" s="20" t="str">
        <f>TRIM(C193)</f>
        <v>SP500</v>
      </c>
      <c r="J193" s="20" t="s">
        <v>11</v>
      </c>
    </row>
    <row r="194" spans="1:10" x14ac:dyDescent="0.25">
      <c r="A194" s="21">
        <v>44272</v>
      </c>
      <c r="B194" s="22" t="s">
        <v>24</v>
      </c>
      <c r="C194" s="22" t="s">
        <v>22</v>
      </c>
      <c r="D194" s="20">
        <v>3949.57</v>
      </c>
      <c r="E194" s="20">
        <v>3983.87</v>
      </c>
      <c r="F194" s="20">
        <v>3935.74</v>
      </c>
      <c r="G194" s="20">
        <v>3974.12</v>
      </c>
      <c r="H194" s="20">
        <v>4541620000</v>
      </c>
      <c r="I194" s="20" t="str">
        <f>TRIM(C194)</f>
        <v>SP500</v>
      </c>
      <c r="J194" s="20" t="s">
        <v>11</v>
      </c>
    </row>
    <row r="195" spans="1:10" x14ac:dyDescent="0.25">
      <c r="A195" s="21">
        <v>44284</v>
      </c>
      <c r="B195" s="22" t="s">
        <v>24</v>
      </c>
      <c r="C195" s="22" t="s">
        <v>22</v>
      </c>
      <c r="D195" s="20">
        <v>3969.31</v>
      </c>
      <c r="E195" s="20">
        <v>3981.83</v>
      </c>
      <c r="F195" s="20">
        <v>3943.25</v>
      </c>
      <c r="G195" s="20">
        <v>3971.09</v>
      </c>
      <c r="H195" s="20">
        <v>4619840000</v>
      </c>
      <c r="I195" s="20" t="str">
        <f>TRIM(C195)</f>
        <v>SP500</v>
      </c>
      <c r="J195" s="20" t="s">
        <v>11</v>
      </c>
    </row>
    <row r="196" spans="1:10" x14ac:dyDescent="0.25">
      <c r="A196" s="21">
        <v>44271</v>
      </c>
      <c r="B196" s="22" t="s">
        <v>24</v>
      </c>
      <c r="C196" s="22" t="s">
        <v>22</v>
      </c>
      <c r="D196" s="20">
        <v>3973.59</v>
      </c>
      <c r="E196" s="20">
        <v>3981.04</v>
      </c>
      <c r="F196" s="20">
        <v>3953.44</v>
      </c>
      <c r="G196" s="20">
        <v>3962.71</v>
      </c>
      <c r="H196" s="20">
        <v>4604870000</v>
      </c>
      <c r="I196" s="20" t="str">
        <f>TRIM(C196)</f>
        <v>SP500</v>
      </c>
      <c r="J196" s="20" t="s">
        <v>11</v>
      </c>
    </row>
    <row r="197" spans="1:10" x14ac:dyDescent="0.25">
      <c r="A197" s="21">
        <v>44281</v>
      </c>
      <c r="B197" s="22" t="s">
        <v>24</v>
      </c>
      <c r="C197" s="22" t="s">
        <v>22</v>
      </c>
      <c r="D197" s="20">
        <v>3917.12</v>
      </c>
      <c r="E197" s="20">
        <v>3978.19</v>
      </c>
      <c r="F197" s="20">
        <v>3917.12</v>
      </c>
      <c r="G197" s="20">
        <v>3974.54</v>
      </c>
      <c r="H197" s="20">
        <v>5467850000</v>
      </c>
      <c r="I197" s="20" t="str">
        <f>TRIM(C197)</f>
        <v>SP500</v>
      </c>
      <c r="J197" s="20" t="s">
        <v>11</v>
      </c>
    </row>
    <row r="198" spans="1:10" x14ac:dyDescent="0.25">
      <c r="A198" s="21">
        <v>44270</v>
      </c>
      <c r="B198" s="22" t="s">
        <v>24</v>
      </c>
      <c r="C198" s="22" t="s">
        <v>22</v>
      </c>
      <c r="D198" s="20">
        <v>3942.96</v>
      </c>
      <c r="E198" s="20">
        <v>3970.08</v>
      </c>
      <c r="F198" s="20">
        <v>3923.54</v>
      </c>
      <c r="G198" s="20">
        <v>3968.94</v>
      </c>
      <c r="H198" s="20">
        <v>4882190000</v>
      </c>
      <c r="I198" s="20" t="str">
        <f>TRIM(C198)</f>
        <v>SP500</v>
      </c>
      <c r="J198" s="20" t="s">
        <v>11</v>
      </c>
    </row>
    <row r="199" spans="1:10" x14ac:dyDescent="0.25">
      <c r="A199" s="21">
        <v>44273</v>
      </c>
      <c r="B199" s="22" t="s">
        <v>24</v>
      </c>
      <c r="C199" s="22" t="s">
        <v>22</v>
      </c>
      <c r="D199" s="20">
        <v>3953.5</v>
      </c>
      <c r="E199" s="20">
        <v>3969.62</v>
      </c>
      <c r="F199" s="20">
        <v>3910.86</v>
      </c>
      <c r="G199" s="20">
        <v>3915.46</v>
      </c>
      <c r="H199" s="20">
        <v>4043170000</v>
      </c>
      <c r="I199" s="20" t="str">
        <f>TRIM(C199)</f>
        <v>SP500</v>
      </c>
      <c r="J199" s="20" t="s">
        <v>11</v>
      </c>
    </row>
    <row r="200" spans="1:10" x14ac:dyDescent="0.25">
      <c r="A200" s="21">
        <v>44285</v>
      </c>
      <c r="B200" s="22" t="s">
        <v>24</v>
      </c>
      <c r="C200" s="22" t="s">
        <v>22</v>
      </c>
      <c r="D200" s="20">
        <v>3963.34</v>
      </c>
      <c r="E200" s="20">
        <v>3968.01</v>
      </c>
      <c r="F200" s="20">
        <v>3944.35</v>
      </c>
      <c r="G200" s="20">
        <v>3958.55</v>
      </c>
      <c r="H200" s="20">
        <v>4103570000</v>
      </c>
      <c r="I200" s="20" t="str">
        <f>TRIM(C200)</f>
        <v>SP500</v>
      </c>
      <c r="J200" s="20" t="s">
        <v>11</v>
      </c>
    </row>
    <row r="201" spans="1:10" x14ac:dyDescent="0.25">
      <c r="A201" s="21">
        <v>44266</v>
      </c>
      <c r="B201" s="22" t="s">
        <v>24</v>
      </c>
      <c r="C201" s="22" t="s">
        <v>22</v>
      </c>
      <c r="D201" s="20">
        <v>3915.54</v>
      </c>
      <c r="E201" s="20">
        <v>3960.27</v>
      </c>
      <c r="F201" s="20">
        <v>3915.54</v>
      </c>
      <c r="G201" s="20">
        <v>3939.34</v>
      </c>
      <c r="H201" s="20">
        <v>5300010000</v>
      </c>
      <c r="I201" s="20" t="str">
        <f>TRIM(C201)</f>
        <v>SP500</v>
      </c>
      <c r="J201" s="20" t="s">
        <v>11</v>
      </c>
    </row>
    <row r="202" spans="1:10" x14ac:dyDescent="0.25">
      <c r="A202" s="21">
        <v>44277</v>
      </c>
      <c r="B202" s="22" t="s">
        <v>24</v>
      </c>
      <c r="C202" s="22" t="s">
        <v>22</v>
      </c>
      <c r="D202" s="20">
        <v>3916.48</v>
      </c>
      <c r="E202" s="20">
        <v>3955.31</v>
      </c>
      <c r="F202" s="20">
        <v>3914.16</v>
      </c>
      <c r="G202" s="20">
        <v>3940.59</v>
      </c>
      <c r="H202" s="20">
        <v>4311380000</v>
      </c>
      <c r="I202" s="20" t="str">
        <f>TRIM(C202)</f>
        <v>SP500</v>
      </c>
      <c r="J202" s="20" t="s">
        <v>11</v>
      </c>
    </row>
    <row r="203" spans="1:10" x14ac:dyDescent="0.25">
      <c r="A203" s="21">
        <v>44243</v>
      </c>
      <c r="B203" s="22" t="s">
        <v>23</v>
      </c>
      <c r="C203" s="22" t="s">
        <v>22</v>
      </c>
      <c r="D203" s="20">
        <v>3939.61</v>
      </c>
      <c r="E203" s="20">
        <v>3950.43</v>
      </c>
      <c r="F203" s="20">
        <v>3923.85</v>
      </c>
      <c r="G203" s="20">
        <v>3932.59</v>
      </c>
      <c r="H203" s="20">
        <v>5037360000</v>
      </c>
      <c r="I203" s="20" t="str">
        <f>TRIM(C203)</f>
        <v>SP500</v>
      </c>
      <c r="J203" s="20" t="s">
        <v>10</v>
      </c>
    </row>
    <row r="204" spans="1:10" x14ac:dyDescent="0.25">
      <c r="A204" s="21">
        <v>44278</v>
      </c>
      <c r="B204" s="22" t="s">
        <v>24</v>
      </c>
      <c r="C204" s="22" t="s">
        <v>22</v>
      </c>
      <c r="D204" s="20">
        <v>3937.6</v>
      </c>
      <c r="E204" s="20">
        <v>3949.13</v>
      </c>
      <c r="F204" s="20">
        <v>3901.57</v>
      </c>
      <c r="G204" s="20">
        <v>3910.52</v>
      </c>
      <c r="H204" s="20">
        <v>4645340000</v>
      </c>
      <c r="I204" s="20" t="str">
        <f>TRIM(C204)</f>
        <v>SP500</v>
      </c>
      <c r="J204" s="20" t="s">
        <v>11</v>
      </c>
    </row>
    <row r="205" spans="1:10" x14ac:dyDescent="0.25">
      <c r="A205" s="21">
        <v>44267</v>
      </c>
      <c r="B205" s="22" t="s">
        <v>24</v>
      </c>
      <c r="C205" s="22" t="s">
        <v>22</v>
      </c>
      <c r="D205" s="20">
        <v>3924.52</v>
      </c>
      <c r="E205" s="20">
        <v>3944.99</v>
      </c>
      <c r="F205" s="20">
        <v>3915.21</v>
      </c>
      <c r="G205" s="20">
        <v>3943.34</v>
      </c>
      <c r="H205" s="20">
        <v>4469240000</v>
      </c>
      <c r="I205" s="20" t="str">
        <f>TRIM(C205)</f>
        <v>SP500</v>
      </c>
      <c r="J205" s="20" t="s">
        <v>11</v>
      </c>
    </row>
    <row r="206" spans="1:10" x14ac:dyDescent="0.25">
      <c r="A206" s="21">
        <v>44279</v>
      </c>
      <c r="B206" s="22" t="s">
        <v>24</v>
      </c>
      <c r="C206" s="22" t="s">
        <v>22</v>
      </c>
      <c r="D206" s="20">
        <v>3919.93</v>
      </c>
      <c r="E206" s="20">
        <v>3942.08</v>
      </c>
      <c r="F206" s="20">
        <v>3889.07</v>
      </c>
      <c r="G206" s="20">
        <v>3889.14</v>
      </c>
      <c r="H206" s="20">
        <v>4766990000</v>
      </c>
      <c r="I206" s="20" t="str">
        <f>TRIM(C206)</f>
        <v>SP500</v>
      </c>
      <c r="J206" s="20" t="s">
        <v>11</v>
      </c>
    </row>
    <row r="207" spans="1:10" x14ac:dyDescent="0.25">
      <c r="A207" s="21">
        <v>44239</v>
      </c>
      <c r="B207" s="22" t="s">
        <v>23</v>
      </c>
      <c r="C207" s="22" t="s">
        <v>22</v>
      </c>
      <c r="D207" s="20">
        <v>3911.65</v>
      </c>
      <c r="E207" s="20">
        <v>3937.23</v>
      </c>
      <c r="F207" s="20">
        <v>3905.78</v>
      </c>
      <c r="G207" s="20">
        <v>3934.83</v>
      </c>
      <c r="H207" s="20">
        <v>4119260000</v>
      </c>
      <c r="I207" s="20" t="str">
        <f>TRIM(C207)</f>
        <v>SP500</v>
      </c>
      <c r="J207" s="20" t="s">
        <v>10</v>
      </c>
    </row>
    <row r="208" spans="1:10" x14ac:dyDescent="0.25">
      <c r="A208" s="21">
        <v>44244</v>
      </c>
      <c r="B208" s="22" t="s">
        <v>23</v>
      </c>
      <c r="C208" s="22" t="s">
        <v>22</v>
      </c>
      <c r="D208" s="20">
        <v>3918.5</v>
      </c>
      <c r="E208" s="20">
        <v>3933.61</v>
      </c>
      <c r="F208" s="20">
        <v>3900.43</v>
      </c>
      <c r="G208" s="20">
        <v>3931.33</v>
      </c>
      <c r="H208" s="20">
        <v>4718280000</v>
      </c>
      <c r="I208" s="20" t="str">
        <f>TRIM(C208)</f>
        <v>SP500</v>
      </c>
      <c r="J208" s="20" t="s">
        <v>10</v>
      </c>
    </row>
    <row r="209" spans="1:10" x14ac:dyDescent="0.25">
      <c r="A209" s="21">
        <v>44237</v>
      </c>
      <c r="B209" s="22" t="s">
        <v>23</v>
      </c>
      <c r="C209" s="22" t="s">
        <v>22</v>
      </c>
      <c r="D209" s="20">
        <v>3920.78</v>
      </c>
      <c r="E209" s="20">
        <v>3931.5</v>
      </c>
      <c r="F209" s="20">
        <v>3884.94</v>
      </c>
      <c r="G209" s="20">
        <v>3909.88</v>
      </c>
      <c r="H209" s="20">
        <v>4815380000</v>
      </c>
      <c r="I209" s="20" t="str">
        <f>TRIM(C209)</f>
        <v>SP500</v>
      </c>
      <c r="J209" s="20" t="s">
        <v>10</v>
      </c>
    </row>
    <row r="210" spans="1:10" x14ac:dyDescent="0.25">
      <c r="A210" s="21">
        <v>44246</v>
      </c>
      <c r="B210" s="22" t="s">
        <v>23</v>
      </c>
      <c r="C210" s="22" t="s">
        <v>22</v>
      </c>
      <c r="D210" s="20">
        <v>3921.16</v>
      </c>
      <c r="E210" s="20">
        <v>3930.41</v>
      </c>
      <c r="F210" s="20">
        <v>3903.07</v>
      </c>
      <c r="G210" s="20">
        <v>3906.71</v>
      </c>
      <c r="H210" s="20">
        <v>4823940000</v>
      </c>
      <c r="I210" s="20" t="str">
        <f>TRIM(C210)</f>
        <v>SP500</v>
      </c>
      <c r="J210" s="20" t="s">
        <v>10</v>
      </c>
    </row>
    <row r="211" spans="1:10" x14ac:dyDescent="0.25">
      <c r="A211" s="21">
        <v>44274</v>
      </c>
      <c r="B211" s="22" t="s">
        <v>24</v>
      </c>
      <c r="C211" s="22" t="s">
        <v>22</v>
      </c>
      <c r="D211" s="20">
        <v>3913.14</v>
      </c>
      <c r="E211" s="20">
        <v>3930.12</v>
      </c>
      <c r="F211" s="20">
        <v>3886.75</v>
      </c>
      <c r="G211" s="20">
        <v>3913.1</v>
      </c>
      <c r="H211" s="20">
        <v>7725050000</v>
      </c>
      <c r="I211" s="20" t="str">
        <f>TRIM(C211)</f>
        <v>SP500</v>
      </c>
      <c r="J211" s="20" t="s">
        <v>11</v>
      </c>
    </row>
    <row r="212" spans="1:10" x14ac:dyDescent="0.25">
      <c r="A212" s="21">
        <v>44251</v>
      </c>
      <c r="B212" s="22" t="s">
        <v>23</v>
      </c>
      <c r="C212" s="22" t="s">
        <v>22</v>
      </c>
      <c r="D212" s="20">
        <v>3873.71</v>
      </c>
      <c r="E212" s="20">
        <v>3928.65</v>
      </c>
      <c r="F212" s="20">
        <v>3859.6</v>
      </c>
      <c r="G212" s="20">
        <v>3925.43</v>
      </c>
      <c r="H212" s="20">
        <v>5942350000</v>
      </c>
      <c r="I212" s="20" t="str">
        <f>TRIM(C212)</f>
        <v>SP500</v>
      </c>
      <c r="J212" s="20" t="s">
        <v>10</v>
      </c>
    </row>
    <row r="213" spans="1:10" x14ac:dyDescent="0.25">
      <c r="A213" s="21">
        <v>44238</v>
      </c>
      <c r="B213" s="22" t="s">
        <v>23</v>
      </c>
      <c r="C213" s="22" t="s">
        <v>22</v>
      </c>
      <c r="D213" s="20">
        <v>3916.4</v>
      </c>
      <c r="E213" s="20">
        <v>3925.99</v>
      </c>
      <c r="F213" s="20">
        <v>3890.39</v>
      </c>
      <c r="G213" s="20">
        <v>3916.38</v>
      </c>
      <c r="H213" s="20">
        <v>4570080000</v>
      </c>
      <c r="I213" s="20" t="str">
        <f>TRIM(C213)</f>
        <v>SP500</v>
      </c>
      <c r="J213" s="20" t="s">
        <v>10</v>
      </c>
    </row>
    <row r="214" spans="1:10" x14ac:dyDescent="0.25">
      <c r="A214" s="21">
        <v>44252</v>
      </c>
      <c r="B214" s="22" t="s">
        <v>23</v>
      </c>
      <c r="C214" s="22" t="s">
        <v>22</v>
      </c>
      <c r="D214" s="20">
        <v>3915.8</v>
      </c>
      <c r="E214" s="20">
        <v>3925.02</v>
      </c>
      <c r="F214" s="20">
        <v>3814.04</v>
      </c>
      <c r="G214" s="20">
        <v>3829.34</v>
      </c>
      <c r="H214" s="20">
        <v>6513060000</v>
      </c>
      <c r="I214" s="20" t="str">
        <f>TRIM(C214)</f>
        <v>SP500</v>
      </c>
      <c r="J214" s="20" t="s">
        <v>10</v>
      </c>
    </row>
    <row r="215" spans="1:10" x14ac:dyDescent="0.25">
      <c r="A215" s="21">
        <v>44245</v>
      </c>
      <c r="B215" s="22" t="s">
        <v>23</v>
      </c>
      <c r="C215" s="22" t="s">
        <v>22</v>
      </c>
      <c r="D215" s="20">
        <v>3915.86</v>
      </c>
      <c r="E215" s="20">
        <v>3921.98</v>
      </c>
      <c r="F215" s="20">
        <v>3885.03</v>
      </c>
      <c r="G215" s="20">
        <v>3913.97</v>
      </c>
      <c r="H215" s="20">
        <v>4773430000</v>
      </c>
      <c r="I215" s="20" t="str">
        <f>TRIM(C215)</f>
        <v>SP500</v>
      </c>
      <c r="J215" s="20" t="s">
        <v>10</v>
      </c>
    </row>
    <row r="216" spans="1:10" x14ac:dyDescent="0.25">
      <c r="A216" s="21">
        <v>44280</v>
      </c>
      <c r="B216" s="22" t="s">
        <v>24</v>
      </c>
      <c r="C216" s="22" t="s">
        <v>22</v>
      </c>
      <c r="D216" s="20">
        <v>3879.34</v>
      </c>
      <c r="E216" s="20">
        <v>3919.54</v>
      </c>
      <c r="F216" s="20">
        <v>3853.5</v>
      </c>
      <c r="G216" s="20">
        <v>3909.52</v>
      </c>
      <c r="H216" s="20">
        <v>4940800000</v>
      </c>
      <c r="I216" s="20" t="str">
        <f>TRIM(C216)</f>
        <v>SP500</v>
      </c>
      <c r="J216" s="20" t="s">
        <v>11</v>
      </c>
    </row>
    <row r="217" spans="1:10" x14ac:dyDescent="0.25">
      <c r="A217" s="21">
        <v>44236</v>
      </c>
      <c r="B217" s="22" t="s">
        <v>23</v>
      </c>
      <c r="C217" s="22" t="s">
        <v>22</v>
      </c>
      <c r="D217" s="20">
        <v>3910.49</v>
      </c>
      <c r="E217" s="20">
        <v>3918.35</v>
      </c>
      <c r="F217" s="20">
        <v>3902.64</v>
      </c>
      <c r="G217" s="20">
        <v>3911.23</v>
      </c>
      <c r="H217" s="20">
        <v>4554610000</v>
      </c>
      <c r="I217" s="20" t="str">
        <f>TRIM(C217)</f>
        <v>SP500</v>
      </c>
      <c r="J217" s="20" t="s">
        <v>10</v>
      </c>
    </row>
    <row r="218" spans="1:10" x14ac:dyDescent="0.25">
      <c r="A218" s="21">
        <v>44265</v>
      </c>
      <c r="B218" s="22" t="s">
        <v>24</v>
      </c>
      <c r="C218" s="22" t="s">
        <v>22</v>
      </c>
      <c r="D218" s="20">
        <v>3891.99</v>
      </c>
      <c r="E218" s="20">
        <v>3917.35</v>
      </c>
      <c r="F218" s="20">
        <v>3885.73</v>
      </c>
      <c r="G218" s="20">
        <v>3898.81</v>
      </c>
      <c r="H218" s="20">
        <v>5827250000</v>
      </c>
      <c r="I218" s="20" t="str">
        <f>TRIM(C218)</f>
        <v>SP500</v>
      </c>
      <c r="J218" s="20" t="s">
        <v>11</v>
      </c>
    </row>
    <row r="219" spans="1:10" x14ac:dyDescent="0.25">
      <c r="A219" s="21">
        <v>44235</v>
      </c>
      <c r="B219" s="22" t="s">
        <v>23</v>
      </c>
      <c r="C219" s="22" t="s">
        <v>22</v>
      </c>
      <c r="D219" s="20">
        <v>3892.59</v>
      </c>
      <c r="E219" s="20">
        <v>3915.77</v>
      </c>
      <c r="F219" s="20">
        <v>3892.59</v>
      </c>
      <c r="G219" s="20">
        <v>3915.59</v>
      </c>
      <c r="H219" s="20">
        <v>4635030000</v>
      </c>
      <c r="I219" s="20" t="str">
        <f>TRIM(C219)</f>
        <v>SP500</v>
      </c>
      <c r="J219" s="20" t="s">
        <v>10</v>
      </c>
    </row>
    <row r="220" spans="1:10" x14ac:dyDescent="0.25">
      <c r="A220" s="21">
        <v>44256</v>
      </c>
      <c r="B220" s="22" t="s">
        <v>24</v>
      </c>
      <c r="C220" s="22" t="s">
        <v>22</v>
      </c>
      <c r="D220" s="20">
        <v>3842.51</v>
      </c>
      <c r="E220" s="20">
        <v>3914.5</v>
      </c>
      <c r="F220" s="20">
        <v>3842.51</v>
      </c>
      <c r="G220" s="20">
        <v>3901.82</v>
      </c>
      <c r="H220" s="20">
        <v>5071540000</v>
      </c>
      <c r="I220" s="20" t="str">
        <f>TRIM(C220)</f>
        <v>SP500</v>
      </c>
      <c r="J220" s="20" t="s">
        <v>11</v>
      </c>
    </row>
    <row r="221" spans="1:10" x14ac:dyDescent="0.25">
      <c r="A221" s="21">
        <v>44257</v>
      </c>
      <c r="B221" s="22" t="s">
        <v>24</v>
      </c>
      <c r="C221" s="22" t="s">
        <v>22</v>
      </c>
      <c r="D221" s="20">
        <v>3903.64</v>
      </c>
      <c r="E221" s="20">
        <v>3906.41</v>
      </c>
      <c r="F221" s="20">
        <v>3868.57</v>
      </c>
      <c r="G221" s="20">
        <v>3870.29</v>
      </c>
      <c r="H221" s="20">
        <v>5493690000</v>
      </c>
      <c r="I221" s="20" t="str">
        <f>TRIM(C221)</f>
        <v>SP500</v>
      </c>
      <c r="J221" s="20" t="s">
        <v>11</v>
      </c>
    </row>
    <row r="222" spans="1:10" x14ac:dyDescent="0.25">
      <c r="A222" s="21">
        <v>44264</v>
      </c>
      <c r="B222" s="22" t="s">
        <v>24</v>
      </c>
      <c r="C222" s="22" t="s">
        <v>22</v>
      </c>
      <c r="D222" s="20">
        <v>3851.93</v>
      </c>
      <c r="E222" s="20">
        <v>3903.76</v>
      </c>
      <c r="F222" s="20">
        <v>3851.93</v>
      </c>
      <c r="G222" s="20">
        <v>3875.44</v>
      </c>
      <c r="H222" s="20">
        <v>5496340000</v>
      </c>
      <c r="I222" s="20" t="str">
        <f>TRIM(C222)</f>
        <v>SP500</v>
      </c>
      <c r="J222" s="20" t="s">
        <v>11</v>
      </c>
    </row>
    <row r="223" spans="1:10" x14ac:dyDescent="0.25">
      <c r="A223" s="21">
        <v>44249</v>
      </c>
      <c r="B223" s="22" t="s">
        <v>23</v>
      </c>
      <c r="C223" s="22" t="s">
        <v>22</v>
      </c>
      <c r="D223" s="20">
        <v>3885.55</v>
      </c>
      <c r="E223" s="20">
        <v>3902.92</v>
      </c>
      <c r="F223" s="20">
        <v>3874.71</v>
      </c>
      <c r="G223" s="20">
        <v>3876.5</v>
      </c>
      <c r="H223" s="20">
        <v>5870190000</v>
      </c>
      <c r="I223" s="20" t="str">
        <f>TRIM(C223)</f>
        <v>SP500</v>
      </c>
      <c r="J223" s="20" t="s">
        <v>10</v>
      </c>
    </row>
    <row r="224" spans="1:10" x14ac:dyDescent="0.25">
      <c r="A224" s="21">
        <v>44250</v>
      </c>
      <c r="B224" s="22" t="s">
        <v>23</v>
      </c>
      <c r="C224" s="22" t="s">
        <v>22</v>
      </c>
      <c r="D224" s="20">
        <v>3857.07</v>
      </c>
      <c r="E224" s="20">
        <v>3895.98</v>
      </c>
      <c r="F224" s="20">
        <v>3805.59</v>
      </c>
      <c r="G224" s="20">
        <v>3881.37</v>
      </c>
      <c r="H224" s="20">
        <v>6280650000</v>
      </c>
      <c r="I224" s="20" t="str">
        <f>TRIM(C224)</f>
        <v>SP500</v>
      </c>
      <c r="J224" s="20" t="s">
        <v>10</v>
      </c>
    </row>
    <row r="225" spans="1:10" x14ac:dyDescent="0.25">
      <c r="A225" s="21">
        <v>44232</v>
      </c>
      <c r="B225" s="22" t="s">
        <v>23</v>
      </c>
      <c r="C225" s="22" t="s">
        <v>22</v>
      </c>
      <c r="D225" s="20">
        <v>3878.3</v>
      </c>
      <c r="E225" s="20">
        <v>3894.56</v>
      </c>
      <c r="F225" s="20">
        <v>3874.93</v>
      </c>
      <c r="G225" s="20">
        <v>3886.83</v>
      </c>
      <c r="H225" s="20">
        <v>4838580000</v>
      </c>
      <c r="I225" s="20" t="str">
        <f>TRIM(C225)</f>
        <v>SP500</v>
      </c>
      <c r="J225" s="20" t="s">
        <v>10</v>
      </c>
    </row>
    <row r="226" spans="1:10" x14ac:dyDescent="0.25">
      <c r="A226" s="21">
        <v>44263</v>
      </c>
      <c r="B226" s="22" t="s">
        <v>24</v>
      </c>
      <c r="C226" s="22" t="s">
        <v>22</v>
      </c>
      <c r="D226" s="20">
        <v>3844.39</v>
      </c>
      <c r="E226" s="20">
        <v>3881.06</v>
      </c>
      <c r="F226" s="20">
        <v>3819.25</v>
      </c>
      <c r="G226" s="20">
        <v>3821.35</v>
      </c>
      <c r="H226" s="20">
        <v>5852240000</v>
      </c>
      <c r="I226" s="20" t="str">
        <f>TRIM(C226)</f>
        <v>SP500</v>
      </c>
      <c r="J226" s="20" t="s">
        <v>11</v>
      </c>
    </row>
    <row r="227" spans="1:10" x14ac:dyDescent="0.25">
      <c r="A227" s="21">
        <v>44258</v>
      </c>
      <c r="B227" s="22" t="s">
        <v>24</v>
      </c>
      <c r="C227" s="22" t="s">
        <v>22</v>
      </c>
      <c r="D227" s="20">
        <v>3863.99</v>
      </c>
      <c r="E227" s="20">
        <v>3874.47</v>
      </c>
      <c r="F227" s="20">
        <v>3818.86</v>
      </c>
      <c r="G227" s="20">
        <v>3819.72</v>
      </c>
      <c r="H227" s="20">
        <v>6150790000</v>
      </c>
      <c r="I227" s="20" t="str">
        <f>TRIM(C227)</f>
        <v>SP500</v>
      </c>
      <c r="J227" s="20" t="s">
        <v>11</v>
      </c>
    </row>
    <row r="228" spans="1:10" x14ac:dyDescent="0.25">
      <c r="A228" s="21">
        <v>44231</v>
      </c>
      <c r="B228" s="22" t="s">
        <v>23</v>
      </c>
      <c r="C228" s="22" t="s">
        <v>22</v>
      </c>
      <c r="D228" s="20">
        <v>3836.66</v>
      </c>
      <c r="E228" s="20">
        <v>3872.42</v>
      </c>
      <c r="F228" s="20">
        <v>3836.66</v>
      </c>
      <c r="G228" s="20">
        <v>3871.74</v>
      </c>
      <c r="H228" s="20">
        <v>4856670000</v>
      </c>
      <c r="I228" s="20" t="str">
        <f>TRIM(C228)</f>
        <v>SP500</v>
      </c>
      <c r="J228" s="20" t="s">
        <v>10</v>
      </c>
    </row>
    <row r="229" spans="1:10" x14ac:dyDescent="0.25">
      <c r="A229" s="21">
        <v>44222</v>
      </c>
      <c r="B229" s="22" t="s">
        <v>21</v>
      </c>
      <c r="C229" s="22" t="s">
        <v>22</v>
      </c>
      <c r="D229" s="20">
        <v>3862.96</v>
      </c>
      <c r="E229" s="20">
        <v>3870.9</v>
      </c>
      <c r="F229" s="20">
        <v>3847.78</v>
      </c>
      <c r="G229" s="20">
        <v>3849.62</v>
      </c>
      <c r="H229" s="20">
        <v>6029090000</v>
      </c>
      <c r="I229" s="20" t="str">
        <f>TRIM(C229)</f>
        <v>SP500</v>
      </c>
      <c r="J229" s="20" t="s">
        <v>8</v>
      </c>
    </row>
    <row r="230" spans="1:10" x14ac:dyDescent="0.25">
      <c r="A230" s="21">
        <v>44217</v>
      </c>
      <c r="B230" s="22" t="s">
        <v>21</v>
      </c>
      <c r="C230" s="22" t="s">
        <v>22</v>
      </c>
      <c r="D230" s="20">
        <v>3857.46</v>
      </c>
      <c r="E230" s="20">
        <v>3861.45</v>
      </c>
      <c r="F230" s="20">
        <v>3845.05</v>
      </c>
      <c r="G230" s="20">
        <v>3853.07</v>
      </c>
      <c r="H230" s="20">
        <v>4484460000</v>
      </c>
      <c r="I230" s="20" t="str">
        <f>TRIM(C230)</f>
        <v>SP500</v>
      </c>
      <c r="J230" s="20" t="s">
        <v>8</v>
      </c>
    </row>
    <row r="231" spans="1:10" x14ac:dyDescent="0.25">
      <c r="A231" s="21">
        <v>44253</v>
      </c>
      <c r="B231" s="22" t="s">
        <v>23</v>
      </c>
      <c r="C231" s="22" t="s">
        <v>22</v>
      </c>
      <c r="D231" s="20">
        <v>3839.66</v>
      </c>
      <c r="E231" s="20">
        <v>3861.08</v>
      </c>
      <c r="F231" s="20">
        <v>3789.54</v>
      </c>
      <c r="G231" s="20">
        <v>3811.15</v>
      </c>
      <c r="H231" s="20">
        <v>6512950000</v>
      </c>
      <c r="I231" s="20" t="str">
        <f>TRIM(C231)</f>
        <v>SP500</v>
      </c>
      <c r="J231" s="20" t="s">
        <v>10</v>
      </c>
    </row>
    <row r="232" spans="1:10" x14ac:dyDescent="0.25">
      <c r="A232" s="21">
        <v>44216</v>
      </c>
      <c r="B232" s="22" t="s">
        <v>21</v>
      </c>
      <c r="C232" s="22" t="s">
        <v>22</v>
      </c>
      <c r="D232" s="20">
        <v>3816.22</v>
      </c>
      <c r="E232" s="20">
        <v>3859.75</v>
      </c>
      <c r="F232" s="20">
        <v>3816.22</v>
      </c>
      <c r="G232" s="20">
        <v>3851.85</v>
      </c>
      <c r="H232" s="20">
        <v>4551790000</v>
      </c>
      <c r="I232" s="20" t="str">
        <f>TRIM(C232)</f>
        <v>SP500</v>
      </c>
      <c r="J232" s="20" t="s">
        <v>8</v>
      </c>
    </row>
    <row r="233" spans="1:10" x14ac:dyDescent="0.25">
      <c r="A233" s="21">
        <v>44221</v>
      </c>
      <c r="B233" s="22" t="s">
        <v>21</v>
      </c>
      <c r="C233" s="22" t="s">
        <v>22</v>
      </c>
      <c r="D233" s="20">
        <v>3851.68</v>
      </c>
      <c r="E233" s="20">
        <v>3859.23</v>
      </c>
      <c r="F233" s="20">
        <v>3797.16</v>
      </c>
      <c r="G233" s="20">
        <v>3855.36</v>
      </c>
      <c r="H233" s="20">
        <v>6955860000</v>
      </c>
      <c r="I233" s="20" t="str">
        <f>TRIM(C233)</f>
        <v>SP500</v>
      </c>
      <c r="J233" s="20" t="s">
        <v>8</v>
      </c>
    </row>
    <row r="234" spans="1:10" x14ac:dyDescent="0.25">
      <c r="A234" s="21">
        <v>44218</v>
      </c>
      <c r="B234" s="22" t="s">
        <v>21</v>
      </c>
      <c r="C234" s="22" t="s">
        <v>22</v>
      </c>
      <c r="D234" s="20">
        <v>3844.24</v>
      </c>
      <c r="E234" s="20">
        <v>3852.31</v>
      </c>
      <c r="F234" s="20">
        <v>3830.41</v>
      </c>
      <c r="G234" s="20">
        <v>3841.47</v>
      </c>
      <c r="H234" s="20">
        <v>5080430000</v>
      </c>
      <c r="I234" s="20" t="str">
        <f>TRIM(C234)</f>
        <v>SP500</v>
      </c>
      <c r="J234" s="20" t="s">
        <v>8</v>
      </c>
    </row>
    <row r="235" spans="1:10" x14ac:dyDescent="0.25">
      <c r="A235" s="21">
        <v>44260</v>
      </c>
      <c r="B235" s="22" t="s">
        <v>24</v>
      </c>
      <c r="C235" s="22" t="s">
        <v>22</v>
      </c>
      <c r="D235" s="20">
        <v>3793.58</v>
      </c>
      <c r="E235" s="20">
        <v>3851.69</v>
      </c>
      <c r="F235" s="20">
        <v>3730.19</v>
      </c>
      <c r="G235" s="20">
        <v>3841.94</v>
      </c>
      <c r="H235" s="20">
        <v>6842570000</v>
      </c>
      <c r="I235" s="20" t="str">
        <f>TRIM(C235)</f>
        <v>SP500</v>
      </c>
      <c r="J235" s="20" t="s">
        <v>11</v>
      </c>
    </row>
    <row r="236" spans="1:10" x14ac:dyDescent="0.25">
      <c r="A236" s="21">
        <v>44230</v>
      </c>
      <c r="B236" s="22" t="s">
        <v>23</v>
      </c>
      <c r="C236" s="22" t="s">
        <v>22</v>
      </c>
      <c r="D236" s="20">
        <v>3840.27</v>
      </c>
      <c r="E236" s="20">
        <v>3847.51</v>
      </c>
      <c r="F236" s="20">
        <v>3816.68</v>
      </c>
      <c r="G236" s="20">
        <v>3830.17</v>
      </c>
      <c r="H236" s="20">
        <v>4846900000</v>
      </c>
      <c r="I236" s="20" t="str">
        <f>TRIM(C236)</f>
        <v>SP500</v>
      </c>
      <c r="J236" s="20" t="s">
        <v>10</v>
      </c>
    </row>
    <row r="237" spans="1:10" x14ac:dyDescent="0.25">
      <c r="A237" s="21">
        <v>44259</v>
      </c>
      <c r="B237" s="22" t="s">
        <v>24</v>
      </c>
      <c r="C237" s="22" t="s">
        <v>22</v>
      </c>
      <c r="D237" s="20">
        <v>3818.53</v>
      </c>
      <c r="E237" s="20">
        <v>3843.67</v>
      </c>
      <c r="F237" s="20">
        <v>3723.34</v>
      </c>
      <c r="G237" s="20">
        <v>3768.47</v>
      </c>
      <c r="H237" s="20">
        <v>7142240000</v>
      </c>
      <c r="I237" s="20" t="str">
        <f>TRIM(C237)</f>
        <v>SP500</v>
      </c>
      <c r="J237" s="20" t="s">
        <v>11</v>
      </c>
    </row>
    <row r="238" spans="1:10" x14ac:dyDescent="0.25">
      <c r="A238" s="21">
        <v>44229</v>
      </c>
      <c r="B238" s="22" t="s">
        <v>23</v>
      </c>
      <c r="C238" s="22" t="s">
        <v>22</v>
      </c>
      <c r="D238" s="20">
        <v>3791.84</v>
      </c>
      <c r="E238" s="20">
        <v>3843.09</v>
      </c>
      <c r="F238" s="20">
        <v>3791.84</v>
      </c>
      <c r="G238" s="20">
        <v>3826.31</v>
      </c>
      <c r="H238" s="20">
        <v>5495370000</v>
      </c>
      <c r="I238" s="20" t="str">
        <f>TRIM(C238)</f>
        <v>SP500</v>
      </c>
      <c r="J238" s="20" t="s">
        <v>10</v>
      </c>
    </row>
    <row r="239" spans="1:10" x14ac:dyDescent="0.25">
      <c r="A239" s="21">
        <v>44223</v>
      </c>
      <c r="B239" s="22" t="s">
        <v>21</v>
      </c>
      <c r="C239" s="22" t="s">
        <v>22</v>
      </c>
      <c r="D239" s="20">
        <v>3836.83</v>
      </c>
      <c r="E239" s="20">
        <v>3836.83</v>
      </c>
      <c r="F239" s="20">
        <v>3732.48</v>
      </c>
      <c r="G239" s="20">
        <v>3750.77</v>
      </c>
      <c r="H239" s="20">
        <v>9878040000</v>
      </c>
      <c r="I239" s="20" t="str">
        <f>TRIM(C239)</f>
        <v>SP500</v>
      </c>
      <c r="J239" s="20" t="s">
        <v>8</v>
      </c>
    </row>
    <row r="240" spans="1:10" x14ac:dyDescent="0.25">
      <c r="A240" s="21">
        <v>44224</v>
      </c>
      <c r="B240" s="22" t="s">
        <v>21</v>
      </c>
      <c r="C240" s="22" t="s">
        <v>22</v>
      </c>
      <c r="D240" s="20">
        <v>3755.75</v>
      </c>
      <c r="E240" s="20">
        <v>3830.5</v>
      </c>
      <c r="F240" s="20">
        <v>3755.75</v>
      </c>
      <c r="G240" s="20">
        <v>3787.38</v>
      </c>
      <c r="H240" s="20">
        <v>6937960000</v>
      </c>
      <c r="I240" s="20" t="str">
        <f>TRIM(C240)</f>
        <v>SP500</v>
      </c>
      <c r="J240" s="20" t="s">
        <v>8</v>
      </c>
    </row>
    <row r="241" spans="1:10" x14ac:dyDescent="0.25">
      <c r="A241" s="21">
        <v>44204</v>
      </c>
      <c r="B241" s="22" t="s">
        <v>21</v>
      </c>
      <c r="C241" s="22" t="s">
        <v>22</v>
      </c>
      <c r="D241" s="20">
        <v>3815.05</v>
      </c>
      <c r="E241" s="20">
        <v>3826.69</v>
      </c>
      <c r="F241" s="20">
        <v>3783.6</v>
      </c>
      <c r="G241" s="20">
        <v>3824.68</v>
      </c>
      <c r="H241" s="20">
        <v>4764180000</v>
      </c>
      <c r="I241" s="20" t="str">
        <f>TRIM(C241)</f>
        <v>SP500</v>
      </c>
      <c r="J241" s="20" t="s">
        <v>8</v>
      </c>
    </row>
    <row r="242" spans="1:10" x14ac:dyDescent="0.25">
      <c r="A242" s="21">
        <v>44210</v>
      </c>
      <c r="B242" s="22" t="s">
        <v>21</v>
      </c>
      <c r="C242" s="22" t="s">
        <v>22</v>
      </c>
      <c r="D242" s="20">
        <v>3814.98</v>
      </c>
      <c r="E242" s="20">
        <v>3823.6</v>
      </c>
      <c r="F242" s="20">
        <v>3792.86</v>
      </c>
      <c r="G242" s="20">
        <v>3795.54</v>
      </c>
      <c r="H242" s="20">
        <v>5180140000</v>
      </c>
      <c r="I242" s="20" t="str">
        <f>TRIM(C242)</f>
        <v>SP500</v>
      </c>
      <c r="J242" s="20" t="s">
        <v>8</v>
      </c>
    </row>
    <row r="243" spans="1:10" x14ac:dyDescent="0.25">
      <c r="A243" s="21">
        <v>44209</v>
      </c>
      <c r="B243" s="22" t="s">
        <v>21</v>
      </c>
      <c r="C243" s="22" t="s">
        <v>22</v>
      </c>
      <c r="D243" s="20">
        <v>3802.23</v>
      </c>
      <c r="E243" s="20">
        <v>3820.96</v>
      </c>
      <c r="F243" s="20">
        <v>3791.5</v>
      </c>
      <c r="G243" s="20">
        <v>3809.84</v>
      </c>
      <c r="H243" s="20">
        <v>4590420000</v>
      </c>
      <c r="I243" s="20" t="str">
        <f>TRIM(C243)</f>
        <v>SP500</v>
      </c>
      <c r="J243" s="20" t="s">
        <v>8</v>
      </c>
    </row>
    <row r="244" spans="1:10" x14ac:dyDescent="0.25">
      <c r="A244" s="21">
        <v>44207</v>
      </c>
      <c r="B244" s="22" t="s">
        <v>21</v>
      </c>
      <c r="C244" s="22" t="s">
        <v>22</v>
      </c>
      <c r="D244" s="20">
        <v>3803.14</v>
      </c>
      <c r="E244" s="20">
        <v>3817.86</v>
      </c>
      <c r="F244" s="20">
        <v>3789.02</v>
      </c>
      <c r="G244" s="20">
        <v>3799.61</v>
      </c>
      <c r="H244" s="20">
        <v>4450500000</v>
      </c>
      <c r="I244" s="20" t="str">
        <f>TRIM(C244)</f>
        <v>SP500</v>
      </c>
      <c r="J244" s="20" t="s">
        <v>8</v>
      </c>
    </row>
    <row r="245" spans="1:10" x14ac:dyDescent="0.25">
      <c r="A245" s="21">
        <v>44203</v>
      </c>
      <c r="B245" s="22" t="s">
        <v>21</v>
      </c>
      <c r="C245" s="22" t="s">
        <v>22</v>
      </c>
      <c r="D245" s="20">
        <v>3764.71</v>
      </c>
      <c r="E245" s="20">
        <v>3811.55</v>
      </c>
      <c r="F245" s="20">
        <v>3764.71</v>
      </c>
      <c r="G245" s="20">
        <v>3803.79</v>
      </c>
      <c r="H245" s="20">
        <v>5080870000</v>
      </c>
      <c r="I245" s="20" t="str">
        <f>TRIM(C245)</f>
        <v>SP500</v>
      </c>
      <c r="J245" s="20" t="s">
        <v>8</v>
      </c>
    </row>
    <row r="246" spans="1:10" x14ac:dyDescent="0.25">
      <c r="A246" s="21">
        <v>44208</v>
      </c>
      <c r="B246" s="22" t="s">
        <v>21</v>
      </c>
      <c r="C246" s="22" t="s">
        <v>22</v>
      </c>
      <c r="D246" s="20">
        <v>3801.62</v>
      </c>
      <c r="E246" s="20">
        <v>3810.78</v>
      </c>
      <c r="F246" s="20">
        <v>3776.51</v>
      </c>
      <c r="G246" s="20">
        <v>3801.19</v>
      </c>
      <c r="H246" s="20">
        <v>4977210000</v>
      </c>
      <c r="I246" s="20" t="str">
        <f>TRIM(C246)</f>
        <v>SP500</v>
      </c>
      <c r="J246" s="20" t="s">
        <v>8</v>
      </c>
    </row>
    <row r="247" spans="1:10" x14ac:dyDescent="0.25">
      <c r="A247" s="21">
        <v>44215</v>
      </c>
      <c r="B247" s="22" t="s">
        <v>21</v>
      </c>
      <c r="C247" s="22" t="s">
        <v>22</v>
      </c>
      <c r="D247" s="20">
        <v>3781.88</v>
      </c>
      <c r="E247" s="20">
        <v>3804.53</v>
      </c>
      <c r="F247" s="20">
        <v>3780.37</v>
      </c>
      <c r="G247" s="20">
        <v>3798.91</v>
      </c>
      <c r="H247" s="20">
        <v>4982940000</v>
      </c>
      <c r="I247" s="20" t="str">
        <f>TRIM(C247)</f>
        <v>SP500</v>
      </c>
      <c r="J247" s="20" t="s">
        <v>8</v>
      </c>
    </row>
    <row r="248" spans="1:10" x14ac:dyDescent="0.25">
      <c r="A248" s="21">
        <v>44211</v>
      </c>
      <c r="B248" s="22" t="s">
        <v>21</v>
      </c>
      <c r="C248" s="22" t="s">
        <v>22</v>
      </c>
      <c r="D248" s="20">
        <v>3788.73</v>
      </c>
      <c r="E248" s="20">
        <v>3788.73</v>
      </c>
      <c r="F248" s="20">
        <v>3749.62</v>
      </c>
      <c r="G248" s="20">
        <v>3768.25</v>
      </c>
      <c r="H248" s="20">
        <v>5353060000</v>
      </c>
      <c r="I248" s="20" t="str">
        <f>TRIM(C248)</f>
        <v>SP500</v>
      </c>
      <c r="J248" s="20" t="s">
        <v>8</v>
      </c>
    </row>
    <row r="249" spans="1:10" x14ac:dyDescent="0.25">
      <c r="A249" s="21">
        <v>44228</v>
      </c>
      <c r="B249" s="22" t="s">
        <v>23</v>
      </c>
      <c r="C249" s="22" t="s">
        <v>22</v>
      </c>
      <c r="D249" s="20">
        <v>3731.17</v>
      </c>
      <c r="E249" s="20">
        <v>3784.32</v>
      </c>
      <c r="F249" s="20">
        <v>3725.62</v>
      </c>
      <c r="G249" s="20">
        <v>3773.86</v>
      </c>
      <c r="H249" s="20">
        <v>5392870000</v>
      </c>
      <c r="I249" s="20" t="str">
        <f>TRIM(C249)</f>
        <v>SP500</v>
      </c>
      <c r="J249" s="20" t="s">
        <v>10</v>
      </c>
    </row>
    <row r="250" spans="1:10" x14ac:dyDescent="0.25">
      <c r="A250" s="21">
        <v>44202</v>
      </c>
      <c r="B250" s="22" t="s">
        <v>21</v>
      </c>
      <c r="C250" s="22" t="s">
        <v>22</v>
      </c>
      <c r="D250" s="20">
        <v>3712.2</v>
      </c>
      <c r="E250" s="20">
        <v>3783.04</v>
      </c>
      <c r="F250" s="20">
        <v>3705.34</v>
      </c>
      <c r="G250" s="20">
        <v>3748.14</v>
      </c>
      <c r="H250" s="20">
        <v>6049970000</v>
      </c>
      <c r="I250" s="20" t="str">
        <f>TRIM(C250)</f>
        <v>SP500</v>
      </c>
      <c r="J250" s="20" t="s">
        <v>8</v>
      </c>
    </row>
    <row r="251" spans="1:10" x14ac:dyDescent="0.25">
      <c r="A251" s="21">
        <v>44225</v>
      </c>
      <c r="B251" s="22" t="s">
        <v>21</v>
      </c>
      <c r="C251" s="22" t="s">
        <v>22</v>
      </c>
      <c r="D251" s="20">
        <v>3778.05</v>
      </c>
      <c r="E251" s="20">
        <v>3778.05</v>
      </c>
      <c r="F251" s="20">
        <v>3694.12</v>
      </c>
      <c r="G251" s="20">
        <v>3714.24</v>
      </c>
      <c r="H251" s="20">
        <v>6612570000</v>
      </c>
      <c r="I251" s="20" t="str">
        <f>TRIM(C251)</f>
        <v>SP500</v>
      </c>
      <c r="J251" s="20" t="s">
        <v>8</v>
      </c>
    </row>
    <row r="252" spans="1:10" x14ac:dyDescent="0.25">
      <c r="A252" s="21">
        <v>44200</v>
      </c>
      <c r="B252" s="22" t="s">
        <v>21</v>
      </c>
      <c r="C252" s="22" t="s">
        <v>22</v>
      </c>
      <c r="D252" s="20">
        <v>3764.61</v>
      </c>
      <c r="E252" s="20">
        <v>3769.99</v>
      </c>
      <c r="F252" s="20">
        <v>3662.71</v>
      </c>
      <c r="G252" s="20">
        <v>3700.65</v>
      </c>
      <c r="H252" s="20">
        <v>5006680000</v>
      </c>
      <c r="I252" s="20" t="str">
        <f>TRIM(C252)</f>
        <v>SP500</v>
      </c>
      <c r="J252" s="20" t="s">
        <v>8</v>
      </c>
    </row>
    <row r="253" spans="1:10" x14ac:dyDescent="0.25">
      <c r="A253" s="21">
        <v>44201</v>
      </c>
      <c r="B253" s="22" t="s">
        <v>21</v>
      </c>
      <c r="C253" s="22" t="s">
        <v>22</v>
      </c>
      <c r="D253" s="20">
        <v>3698.02</v>
      </c>
      <c r="E253" s="20">
        <v>3737.83</v>
      </c>
      <c r="F253" s="20">
        <v>3695.07</v>
      </c>
      <c r="G253" s="20">
        <v>3726.86</v>
      </c>
      <c r="H253" s="20">
        <v>4582620000</v>
      </c>
      <c r="I253" s="20" t="str">
        <f>TRIM(C253)</f>
        <v>SP500</v>
      </c>
      <c r="J253" s="20" t="s">
        <v>8</v>
      </c>
    </row>
    <row r="254" spans="1:10" hidden="1" x14ac:dyDescent="0.25">
      <c r="A254" s="1">
        <v>44200</v>
      </c>
      <c r="B254" s="2" t="s">
        <v>8</v>
      </c>
      <c r="C254" s="2" t="s">
        <v>9</v>
      </c>
      <c r="D254">
        <v>33617.300000000003</v>
      </c>
      <c r="E254">
        <v>33669</v>
      </c>
      <c r="F254">
        <v>27632.34</v>
      </c>
      <c r="G254">
        <v>31203.46</v>
      </c>
      <c r="H254">
        <v>4603.92</v>
      </c>
      <c r="I254" t="str">
        <f>TRIM(C254)</f>
        <v>BTCUSD</v>
      </c>
      <c r="J254" t="e">
        <f>LEFT(#REF!,3)</f>
        <v>#REF!</v>
      </c>
    </row>
    <row r="255" spans="1:10" hidden="1" x14ac:dyDescent="0.25">
      <c r="A255" s="1">
        <v>44335</v>
      </c>
      <c r="B255" s="2" t="s">
        <v>13</v>
      </c>
      <c r="C255" s="2" t="s">
        <v>9</v>
      </c>
      <c r="D255">
        <v>40570.980000000003</v>
      </c>
      <c r="E255">
        <v>40867.4</v>
      </c>
      <c r="F255">
        <v>28700</v>
      </c>
      <c r="G255">
        <v>38411.14</v>
      </c>
      <c r="H255">
        <v>18000.98</v>
      </c>
      <c r="I255" t="str">
        <f>TRIM(C255)</f>
        <v>BTCUSD</v>
      </c>
      <c r="J255" t="e">
        <f>LEFT(#REF!,3)</f>
        <v>#REF!</v>
      </c>
    </row>
    <row r="256" spans="1:10" hidden="1" x14ac:dyDescent="0.25">
      <c r="A256" s="1">
        <v>44217</v>
      </c>
      <c r="B256" s="2" t="s">
        <v>8</v>
      </c>
      <c r="C256" s="2" t="s">
        <v>9</v>
      </c>
      <c r="D256">
        <v>34603.74</v>
      </c>
      <c r="E256">
        <v>35000</v>
      </c>
      <c r="F256">
        <v>28800</v>
      </c>
      <c r="G256">
        <v>30943.32</v>
      </c>
      <c r="H256">
        <v>7290.52</v>
      </c>
      <c r="I256" t="str">
        <f>TRIM(C256)</f>
        <v>BTCUSD</v>
      </c>
      <c r="J256" t="e">
        <f>LEFT(#REF!,3)</f>
        <v>#REF!</v>
      </c>
    </row>
    <row r="257" spans="1:10" hidden="1" x14ac:dyDescent="0.25">
      <c r="A257" s="1">
        <v>44369</v>
      </c>
      <c r="B257" s="2" t="s">
        <v>14</v>
      </c>
      <c r="C257" s="2" t="s">
        <v>9</v>
      </c>
      <c r="D257">
        <v>33029.769999999997</v>
      </c>
      <c r="E257">
        <v>34392.050000000003</v>
      </c>
      <c r="F257">
        <v>28801</v>
      </c>
      <c r="G257">
        <v>33992.879999999997</v>
      </c>
      <c r="H257">
        <v>10036.629999999999</v>
      </c>
      <c r="I257" t="str">
        <f>TRIM(C257)</f>
        <v>BTCUSD</v>
      </c>
      <c r="J257" t="e">
        <f>LEFT(#REF!,3)</f>
        <v>#REF!</v>
      </c>
    </row>
    <row r="258" spans="1:10" hidden="1" x14ac:dyDescent="0.25">
      <c r="A258" s="1">
        <v>44223</v>
      </c>
      <c r="B258" s="2" t="s">
        <v>8</v>
      </c>
      <c r="C258" s="2" t="s">
        <v>9</v>
      </c>
      <c r="D258">
        <v>31852.6</v>
      </c>
      <c r="E258">
        <v>32059.73</v>
      </c>
      <c r="F258">
        <v>29191.9</v>
      </c>
      <c r="G258">
        <v>31514.54</v>
      </c>
      <c r="H258">
        <v>5779.14</v>
      </c>
      <c r="I258" t="str">
        <f>TRIM(C258)</f>
        <v>BTCUSD</v>
      </c>
      <c r="J258" t="e">
        <f>LEFT(#REF!,3)</f>
        <v>#REF!</v>
      </c>
    </row>
    <row r="259" spans="1:10" hidden="1" x14ac:dyDescent="0.25">
      <c r="A259" s="1">
        <v>44397</v>
      </c>
      <c r="B259" s="2" t="s">
        <v>15</v>
      </c>
      <c r="C259" s="2" t="s">
        <v>9</v>
      </c>
      <c r="D259">
        <v>29605.35</v>
      </c>
      <c r="E259">
        <v>30005.72</v>
      </c>
      <c r="F259">
        <v>29284.35</v>
      </c>
      <c r="G259">
        <v>29853.86</v>
      </c>
      <c r="H259">
        <v>2075.2800000000002</v>
      </c>
      <c r="I259" t="str">
        <f>TRIM(C259)</f>
        <v>BTCUSD</v>
      </c>
      <c r="J259" t="e">
        <f>LEFT(#REF!,3)</f>
        <v>#REF!</v>
      </c>
    </row>
    <row r="260" spans="1:10" hidden="1" x14ac:dyDescent="0.25">
      <c r="A260" s="1">
        <v>44396</v>
      </c>
      <c r="B260" s="2" t="s">
        <v>15</v>
      </c>
      <c r="C260" s="2" t="s">
        <v>9</v>
      </c>
      <c r="D260">
        <v>31547.22</v>
      </c>
      <c r="E260">
        <v>31890.59</v>
      </c>
      <c r="F260">
        <v>29500</v>
      </c>
      <c r="G260">
        <v>29605.35</v>
      </c>
      <c r="H260">
        <v>2184.44</v>
      </c>
      <c r="I260" t="str">
        <f>TRIM(C260)</f>
        <v>BTCUSD</v>
      </c>
      <c r="J260" t="e">
        <f>LEFT(#REF!,3)</f>
        <v>#REF!</v>
      </c>
    </row>
    <row r="261" spans="1:10" hidden="1" x14ac:dyDescent="0.25">
      <c r="A261" s="1">
        <v>44398</v>
      </c>
      <c r="B261" s="2" t="s">
        <v>15</v>
      </c>
      <c r="C261" s="2" t="s">
        <v>9</v>
      </c>
      <c r="D261">
        <v>29853.86</v>
      </c>
      <c r="E261">
        <v>32950</v>
      </c>
      <c r="F261">
        <v>29853.86</v>
      </c>
      <c r="G261">
        <v>31947.52</v>
      </c>
      <c r="H261">
        <v>3023.28</v>
      </c>
      <c r="I261" t="str">
        <f>TRIM(C261)</f>
        <v>BTCUSD</v>
      </c>
      <c r="J261" t="e">
        <f>LEFT(#REF!,3)</f>
        <v>#REF!</v>
      </c>
    </row>
    <row r="262" spans="1:10" hidden="1" x14ac:dyDescent="0.25">
      <c r="A262" s="1">
        <v>44201</v>
      </c>
      <c r="B262" s="2" t="s">
        <v>8</v>
      </c>
      <c r="C262" s="2" t="s">
        <v>9</v>
      </c>
      <c r="D262">
        <v>31203.46</v>
      </c>
      <c r="E262">
        <v>34536.29</v>
      </c>
      <c r="F262">
        <v>29914.5</v>
      </c>
      <c r="G262">
        <v>34228.19</v>
      </c>
      <c r="H262">
        <v>3056.56</v>
      </c>
      <c r="I262" t="str">
        <f>TRIM(C262)</f>
        <v>BTCUSD</v>
      </c>
      <c r="J262" t="e">
        <f>LEFT(#REF!,3)</f>
        <v>#REF!</v>
      </c>
    </row>
    <row r="263" spans="1:10" hidden="1" x14ac:dyDescent="0.25">
      <c r="A263" s="1">
        <v>44373</v>
      </c>
      <c r="B263" s="2" t="s">
        <v>14</v>
      </c>
      <c r="C263" s="2" t="s">
        <v>9</v>
      </c>
      <c r="D263">
        <v>31983.86</v>
      </c>
      <c r="E263">
        <v>33209.589999999997</v>
      </c>
      <c r="F263">
        <v>30142.68</v>
      </c>
      <c r="G263">
        <v>33149.18</v>
      </c>
      <c r="H263">
        <v>3583.91</v>
      </c>
      <c r="I263" t="str">
        <f>TRIM(C263)</f>
        <v>BTCUSD</v>
      </c>
      <c r="J263" t="e">
        <f>LEFT(#REF!,3)</f>
        <v>#REF!</v>
      </c>
    </row>
    <row r="264" spans="1:10" hidden="1" x14ac:dyDescent="0.25">
      <c r="A264" s="1">
        <v>44207</v>
      </c>
      <c r="B264" s="2" t="s">
        <v>8</v>
      </c>
      <c r="C264" s="2" t="s">
        <v>9</v>
      </c>
      <c r="D264">
        <v>35435.129999999997</v>
      </c>
      <c r="E264">
        <v>36323.25</v>
      </c>
      <c r="F264">
        <v>30250</v>
      </c>
      <c r="G264">
        <v>35000</v>
      </c>
      <c r="H264">
        <v>12556.01</v>
      </c>
      <c r="I264" t="str">
        <f>TRIM(C264)</f>
        <v>BTCUSD</v>
      </c>
      <c r="J264" t="e">
        <f>LEFT(#REF!,3)</f>
        <v>#REF!</v>
      </c>
    </row>
    <row r="265" spans="1:10" hidden="1" x14ac:dyDescent="0.25">
      <c r="A265" s="1">
        <v>44218</v>
      </c>
      <c r="B265" s="2" t="s">
        <v>8</v>
      </c>
      <c r="C265" s="2" t="s">
        <v>9</v>
      </c>
      <c r="D265">
        <v>30943.32</v>
      </c>
      <c r="E265">
        <v>33880</v>
      </c>
      <c r="F265">
        <v>30473.87</v>
      </c>
      <c r="G265">
        <v>32393.63</v>
      </c>
      <c r="H265">
        <v>2869.23</v>
      </c>
      <c r="I265" t="str">
        <f>TRIM(C265)</f>
        <v>BTCUSD</v>
      </c>
      <c r="J265" t="e">
        <f>LEFT(#REF!,3)</f>
        <v>#REF!</v>
      </c>
    </row>
    <row r="266" spans="1:10" hidden="1" x14ac:dyDescent="0.25">
      <c r="A266" s="1">
        <v>44222</v>
      </c>
      <c r="B266" s="2" t="s">
        <v>8</v>
      </c>
      <c r="C266" s="2" t="s">
        <v>9</v>
      </c>
      <c r="D266">
        <v>31557.64</v>
      </c>
      <c r="E266">
        <v>32951</v>
      </c>
      <c r="F266">
        <v>30833.97</v>
      </c>
      <c r="G266">
        <v>31852.6</v>
      </c>
      <c r="H266">
        <v>2542.86</v>
      </c>
      <c r="I266" t="str">
        <f>TRIM(C266)</f>
        <v>BTCUSD</v>
      </c>
      <c r="J266" t="e">
        <f>LEFT(#REF!,3)</f>
        <v>#REF!</v>
      </c>
    </row>
    <row r="267" spans="1:10" hidden="1" x14ac:dyDescent="0.25">
      <c r="A267" s="1">
        <v>44224</v>
      </c>
      <c r="B267" s="2" t="s">
        <v>8</v>
      </c>
      <c r="C267" s="2" t="s">
        <v>9</v>
      </c>
      <c r="D267">
        <v>31514.54</v>
      </c>
      <c r="E267">
        <v>34671.769999999997</v>
      </c>
      <c r="F267">
        <v>30866.39</v>
      </c>
      <c r="G267">
        <v>33864.01</v>
      </c>
      <c r="H267">
        <v>4614.55</v>
      </c>
      <c r="I267" t="str">
        <f>TRIM(C267)</f>
        <v>BTCUSD</v>
      </c>
      <c r="J267" t="e">
        <f>LEFT(#REF!,3)</f>
        <v>#REF!</v>
      </c>
    </row>
    <row r="268" spans="1:10" hidden="1" x14ac:dyDescent="0.25">
      <c r="A268" s="1">
        <v>44220</v>
      </c>
      <c r="B268" s="2" t="s">
        <v>8</v>
      </c>
      <c r="C268" s="2" t="s">
        <v>9</v>
      </c>
      <c r="D268">
        <v>32500</v>
      </c>
      <c r="E268">
        <v>33672.18</v>
      </c>
      <c r="F268">
        <v>30958</v>
      </c>
      <c r="G268">
        <v>33585.440000000002</v>
      </c>
      <c r="H268">
        <v>1668.48</v>
      </c>
      <c r="I268" t="str">
        <f>TRIM(C268)</f>
        <v>BTCUSD</v>
      </c>
      <c r="J268" t="e">
        <f>LEFT(#REF!,3)</f>
        <v>#REF!</v>
      </c>
    </row>
    <row r="269" spans="1:10" hidden="1" x14ac:dyDescent="0.25">
      <c r="A269" s="1">
        <v>44355</v>
      </c>
      <c r="B269" s="2" t="s">
        <v>14</v>
      </c>
      <c r="C269" s="2" t="s">
        <v>9</v>
      </c>
      <c r="D269">
        <v>32843.15</v>
      </c>
      <c r="E269">
        <v>33841.46</v>
      </c>
      <c r="F269">
        <v>31000.01</v>
      </c>
      <c r="G269">
        <v>32898.06</v>
      </c>
      <c r="H269">
        <v>5149.1899999999996</v>
      </c>
      <c r="I269" t="str">
        <f>TRIM(C269)</f>
        <v>BTCUSD</v>
      </c>
      <c r="J269" t="e">
        <f>LEFT(#REF!,3)</f>
        <v>#REF!</v>
      </c>
    </row>
    <row r="270" spans="1:10" hidden="1" x14ac:dyDescent="0.25">
      <c r="A270" s="1">
        <v>44393</v>
      </c>
      <c r="B270" s="2" t="s">
        <v>15</v>
      </c>
      <c r="C270" s="2" t="s">
        <v>9</v>
      </c>
      <c r="D270">
        <v>31924.93</v>
      </c>
      <c r="E270">
        <v>32252.21</v>
      </c>
      <c r="F270">
        <v>31027.01</v>
      </c>
      <c r="G270">
        <v>31313.83</v>
      </c>
      <c r="H270">
        <v>1355.02</v>
      </c>
      <c r="I270" t="str">
        <f>TRIM(C270)</f>
        <v>BTCUSD</v>
      </c>
      <c r="J270" t="e">
        <f>LEFT(#REF!,3)</f>
        <v>#REF!</v>
      </c>
    </row>
    <row r="271" spans="1:10" hidden="1" x14ac:dyDescent="0.25">
      <c r="A271" s="1">
        <v>44339</v>
      </c>
      <c r="B271" s="2" t="s">
        <v>13</v>
      </c>
      <c r="C271" s="2" t="s">
        <v>9</v>
      </c>
      <c r="D271">
        <v>37484.18</v>
      </c>
      <c r="E271">
        <v>37484.18</v>
      </c>
      <c r="F271">
        <v>31104.14</v>
      </c>
      <c r="G271">
        <v>35318.86</v>
      </c>
      <c r="H271">
        <v>7143.1</v>
      </c>
      <c r="I271" t="str">
        <f>TRIM(C271)</f>
        <v>BTCUSD</v>
      </c>
      <c r="J271" t="e">
        <f>LEFT(#REF!,3)</f>
        <v>#REF!</v>
      </c>
    </row>
    <row r="272" spans="1:10" hidden="1" x14ac:dyDescent="0.25">
      <c r="A272" s="1">
        <v>44395</v>
      </c>
      <c r="B272" s="2" t="s">
        <v>15</v>
      </c>
      <c r="C272" s="2" t="s">
        <v>9</v>
      </c>
      <c r="D272">
        <v>32169.82</v>
      </c>
      <c r="E272">
        <v>32200.55</v>
      </c>
      <c r="F272">
        <v>31123</v>
      </c>
      <c r="G272">
        <v>31547.22</v>
      </c>
      <c r="H272">
        <v>572.89</v>
      </c>
      <c r="I272" t="str">
        <f>TRIM(C272)</f>
        <v>BTCUSD</v>
      </c>
      <c r="J272" t="e">
        <f>LEFT(#REF!,3)</f>
        <v>#REF!</v>
      </c>
    </row>
    <row r="273" spans="1:10" hidden="1" x14ac:dyDescent="0.25">
      <c r="A273" s="1">
        <v>44392</v>
      </c>
      <c r="B273" s="2" t="s">
        <v>15</v>
      </c>
      <c r="C273" s="2" t="s">
        <v>9</v>
      </c>
      <c r="D273">
        <v>32671.54</v>
      </c>
      <c r="E273">
        <v>32691.72</v>
      </c>
      <c r="F273">
        <v>31135</v>
      </c>
      <c r="G273">
        <v>31924.93</v>
      </c>
      <c r="H273">
        <v>1534.41</v>
      </c>
      <c r="I273" t="str">
        <f>TRIM(C273)</f>
        <v>BTCUSD</v>
      </c>
      <c r="J273" t="e">
        <f>LEFT(#REF!,3)</f>
        <v>#REF!</v>
      </c>
    </row>
    <row r="274" spans="1:10" hidden="1" x14ac:dyDescent="0.25">
      <c r="A274" s="1">
        <v>44368</v>
      </c>
      <c r="B274" s="2" t="s">
        <v>14</v>
      </c>
      <c r="C274" s="2" t="s">
        <v>9</v>
      </c>
      <c r="D274">
        <v>34629.879999999997</v>
      </c>
      <c r="E274">
        <v>34702.68</v>
      </c>
      <c r="F274">
        <v>31176.42</v>
      </c>
      <c r="G274">
        <v>33029.769999999997</v>
      </c>
      <c r="H274">
        <v>7153.94</v>
      </c>
      <c r="I274" t="str">
        <f>TRIM(C274)</f>
        <v>BTCUSD</v>
      </c>
      <c r="J274" t="e">
        <f>LEFT(#REF!,3)</f>
        <v>#REF!</v>
      </c>
    </row>
    <row r="275" spans="1:10" hidden="1" x14ac:dyDescent="0.25">
      <c r="A275" s="1">
        <v>44394</v>
      </c>
      <c r="B275" s="2" t="s">
        <v>15</v>
      </c>
      <c r="C275" s="2" t="s">
        <v>9</v>
      </c>
      <c r="D275">
        <v>31313.83</v>
      </c>
      <c r="E275">
        <v>32437.07</v>
      </c>
      <c r="F275">
        <v>31206.23</v>
      </c>
      <c r="G275">
        <v>32169.82</v>
      </c>
      <c r="H275">
        <v>765.31</v>
      </c>
      <c r="I275" t="str">
        <f>TRIM(C275)</f>
        <v>BTCUSD</v>
      </c>
      <c r="J275" t="e">
        <f>LEFT(#REF!,3)</f>
        <v>#REF!</v>
      </c>
    </row>
    <row r="276" spans="1:10" hidden="1" x14ac:dyDescent="0.25">
      <c r="A276" s="1">
        <v>44372</v>
      </c>
      <c r="B276" s="2" t="s">
        <v>14</v>
      </c>
      <c r="C276" s="2" t="s">
        <v>9</v>
      </c>
      <c r="D276">
        <v>35100</v>
      </c>
      <c r="E276">
        <v>35100</v>
      </c>
      <c r="F276">
        <v>31303.71</v>
      </c>
      <c r="G276">
        <v>31983.86</v>
      </c>
      <c r="H276">
        <v>3682.14</v>
      </c>
      <c r="I276" t="str">
        <f>TRIM(C276)</f>
        <v>BTCUSD</v>
      </c>
      <c r="J276" t="e">
        <f>LEFT(#REF!,3)</f>
        <v>#REF!</v>
      </c>
    </row>
    <row r="277" spans="1:10" hidden="1" x14ac:dyDescent="0.25">
      <c r="A277" s="1">
        <v>44219</v>
      </c>
      <c r="B277" s="2" t="s">
        <v>8</v>
      </c>
      <c r="C277" s="2" t="s">
        <v>9</v>
      </c>
      <c r="D277">
        <v>32393.63</v>
      </c>
      <c r="E277">
        <v>33479.49</v>
      </c>
      <c r="F277">
        <v>31444</v>
      </c>
      <c r="G277">
        <v>32500</v>
      </c>
      <c r="H277">
        <v>942</v>
      </c>
      <c r="I277" t="str">
        <f>TRIM(C277)</f>
        <v>BTCUSD</v>
      </c>
      <c r="J277" t="e">
        <f>LEFT(#REF!,3)</f>
        <v>#REF!</v>
      </c>
    </row>
    <row r="278" spans="1:10" hidden="1" x14ac:dyDescent="0.25">
      <c r="A278" s="1">
        <v>44221</v>
      </c>
      <c r="B278" s="2" t="s">
        <v>8</v>
      </c>
      <c r="C278" s="2" t="s">
        <v>9</v>
      </c>
      <c r="D278">
        <v>33585.440000000002</v>
      </c>
      <c r="E278">
        <v>34885.56</v>
      </c>
      <c r="F278">
        <v>31481.38</v>
      </c>
      <c r="G278">
        <v>31557.64</v>
      </c>
      <c r="H278">
        <v>2502.7800000000002</v>
      </c>
      <c r="I278" t="str">
        <f>TRIM(C278)</f>
        <v>BTCUSD</v>
      </c>
      <c r="J278" t="e">
        <f>LEFT(#REF!,3)</f>
        <v>#REF!</v>
      </c>
    </row>
    <row r="279" spans="1:10" hidden="1" x14ac:dyDescent="0.25">
      <c r="A279" s="1">
        <v>44391</v>
      </c>
      <c r="B279" s="2" t="s">
        <v>15</v>
      </c>
      <c r="C279" s="2" t="s">
        <v>9</v>
      </c>
      <c r="D279">
        <v>31853.69</v>
      </c>
      <c r="E279">
        <v>33189.99</v>
      </c>
      <c r="F279">
        <v>31601.59</v>
      </c>
      <c r="G279">
        <v>32671.54</v>
      </c>
      <c r="H279">
        <v>1083.1199999999999</v>
      </c>
      <c r="I279" t="str">
        <f>TRIM(C279)</f>
        <v>BTCUSD</v>
      </c>
      <c r="J279" t="e">
        <f>LEFT(#REF!,3)</f>
        <v>#REF!</v>
      </c>
    </row>
    <row r="280" spans="1:10" hidden="1" x14ac:dyDescent="0.25">
      <c r="A280" s="1">
        <v>44390</v>
      </c>
      <c r="B280" s="2" t="s">
        <v>15</v>
      </c>
      <c r="C280" s="2" t="s">
        <v>9</v>
      </c>
      <c r="D280">
        <v>33087.26</v>
      </c>
      <c r="E280">
        <v>33334.71</v>
      </c>
      <c r="F280">
        <v>31661.01</v>
      </c>
      <c r="G280">
        <v>31853.69</v>
      </c>
      <c r="H280">
        <v>1282.07</v>
      </c>
      <c r="I280" t="str">
        <f>TRIM(C280)</f>
        <v>BTCUSD</v>
      </c>
      <c r="J280" t="e">
        <f>LEFT(#REF!,3)</f>
        <v>#REF!</v>
      </c>
    </row>
    <row r="281" spans="1:10" hidden="1" x14ac:dyDescent="0.25">
      <c r="A281" s="1">
        <v>44399</v>
      </c>
      <c r="B281" s="2" t="s">
        <v>15</v>
      </c>
      <c r="C281" s="2" t="s">
        <v>9</v>
      </c>
      <c r="D281">
        <v>31947.52</v>
      </c>
      <c r="E281">
        <v>32806.46</v>
      </c>
      <c r="F281">
        <v>31732.34</v>
      </c>
      <c r="G281">
        <v>32598.43</v>
      </c>
      <c r="H281">
        <v>1223.0999999999999</v>
      </c>
      <c r="I281" t="str">
        <f>TRIM(C281)</f>
        <v>BTCUSD</v>
      </c>
      <c r="J281" t="e">
        <f>LEFT(#REF!,3)</f>
        <v>#REF!</v>
      </c>
    </row>
    <row r="282" spans="1:10" hidden="1" x14ac:dyDescent="0.25">
      <c r="A282" s="1">
        <v>44225</v>
      </c>
      <c r="B282" s="2" t="s">
        <v>8</v>
      </c>
      <c r="C282" s="2" t="s">
        <v>9</v>
      </c>
      <c r="D282">
        <v>33864.01</v>
      </c>
      <c r="E282">
        <v>38665.71</v>
      </c>
      <c r="F282">
        <v>31968.27</v>
      </c>
      <c r="G282">
        <v>33289.129999999997</v>
      </c>
      <c r="H282">
        <v>7733.43</v>
      </c>
      <c r="I282" t="str">
        <f>TRIM(C282)</f>
        <v>BTCUSD</v>
      </c>
      <c r="J282" t="e">
        <f>LEFT(#REF!,3)</f>
        <v>#REF!</v>
      </c>
    </row>
    <row r="283" spans="1:10" hidden="1" x14ac:dyDescent="0.25">
      <c r="A283" s="1">
        <v>44400</v>
      </c>
      <c r="B283" s="2" t="s">
        <v>15</v>
      </c>
      <c r="C283" s="2" t="s">
        <v>9</v>
      </c>
      <c r="D283">
        <v>32598.43</v>
      </c>
      <c r="E283">
        <v>33800</v>
      </c>
      <c r="F283">
        <v>32000</v>
      </c>
      <c r="G283">
        <v>33689.58</v>
      </c>
      <c r="H283">
        <v>1319.58</v>
      </c>
      <c r="I283" t="str">
        <f>TRIM(C283)</f>
        <v>BTCUSD</v>
      </c>
      <c r="J283" t="e">
        <f>LEFT(#REF!,3)</f>
        <v>#REF!</v>
      </c>
    </row>
    <row r="284" spans="1:10" hidden="1" x14ac:dyDescent="0.25">
      <c r="A284" s="1">
        <v>44385</v>
      </c>
      <c r="B284" s="2" t="s">
        <v>15</v>
      </c>
      <c r="C284" s="2" t="s">
        <v>9</v>
      </c>
      <c r="D284">
        <v>33337</v>
      </c>
      <c r="E284">
        <v>33493.24</v>
      </c>
      <c r="F284">
        <v>32101</v>
      </c>
      <c r="G284">
        <v>32954.75</v>
      </c>
      <c r="H284">
        <v>2063.0100000000002</v>
      </c>
      <c r="I284" t="str">
        <f>TRIM(C284)</f>
        <v>BTCUSD</v>
      </c>
      <c r="J284" t="e">
        <f>LEFT(#REF!,3)</f>
        <v>#REF!</v>
      </c>
    </row>
    <row r="285" spans="1:10" hidden="1" x14ac:dyDescent="0.25">
      <c r="A285" s="1">
        <v>44208</v>
      </c>
      <c r="B285" s="2" t="s">
        <v>8</v>
      </c>
      <c r="C285" s="2" t="s">
        <v>9</v>
      </c>
      <c r="D285">
        <v>35000</v>
      </c>
      <c r="E285">
        <v>36651.339999999997</v>
      </c>
      <c r="F285">
        <v>32178.29</v>
      </c>
      <c r="G285">
        <v>33804.230000000003</v>
      </c>
      <c r="H285">
        <v>5245.77</v>
      </c>
      <c r="I285" t="str">
        <f>TRIM(C285)</f>
        <v>BTCUSD</v>
      </c>
      <c r="J285" t="e">
        <f>LEFT(#REF!,3)</f>
        <v>#REF!</v>
      </c>
    </row>
    <row r="286" spans="1:10" hidden="1" x14ac:dyDescent="0.25">
      <c r="A286" s="1">
        <v>44227</v>
      </c>
      <c r="B286" s="2" t="s">
        <v>8</v>
      </c>
      <c r="C286" s="2" t="s">
        <v>9</v>
      </c>
      <c r="D286">
        <v>33949.79</v>
      </c>
      <c r="E286">
        <v>34205</v>
      </c>
      <c r="F286">
        <v>32200</v>
      </c>
      <c r="G286">
        <v>33608.78</v>
      </c>
      <c r="H286">
        <v>1153.46</v>
      </c>
      <c r="I286" t="str">
        <f>TRIM(C286)</f>
        <v>BTCUSD</v>
      </c>
      <c r="J286" t="e">
        <f>LEFT(#REF!,3)</f>
        <v>#REF!</v>
      </c>
    </row>
    <row r="287" spans="1:10" hidden="1" x14ac:dyDescent="0.25">
      <c r="A287" s="1">
        <v>44371</v>
      </c>
      <c r="B287" s="2" t="s">
        <v>14</v>
      </c>
      <c r="C287" s="2" t="s">
        <v>9</v>
      </c>
      <c r="D287">
        <v>32606.959999999999</v>
      </c>
      <c r="E287">
        <v>35274.9</v>
      </c>
      <c r="F287">
        <v>32315.01</v>
      </c>
      <c r="G287">
        <v>35100</v>
      </c>
      <c r="H287">
        <v>2257.34</v>
      </c>
      <c r="I287" t="str">
        <f>TRIM(C287)</f>
        <v>BTCUSD</v>
      </c>
      <c r="J287" t="e">
        <f>LEFT(#REF!,3)</f>
        <v>#REF!</v>
      </c>
    </row>
    <row r="288" spans="1:10" hidden="1" x14ac:dyDescent="0.25">
      <c r="A288" s="1">
        <v>44370</v>
      </c>
      <c r="B288" s="2" t="s">
        <v>14</v>
      </c>
      <c r="C288" s="2" t="s">
        <v>9</v>
      </c>
      <c r="D288">
        <v>33992.879999999997</v>
      </c>
      <c r="E288">
        <v>34851.199999999997</v>
      </c>
      <c r="F288">
        <v>32355.040000000001</v>
      </c>
      <c r="G288">
        <v>32606.959999999999</v>
      </c>
      <c r="H288">
        <v>3413.98</v>
      </c>
      <c r="I288" t="str">
        <f>TRIM(C288)</f>
        <v>BTCUSD</v>
      </c>
      <c r="J288" t="e">
        <f>LEFT(#REF!,3)</f>
        <v>#REF!</v>
      </c>
    </row>
    <row r="289" spans="1:10" hidden="1" x14ac:dyDescent="0.25">
      <c r="A289" s="1">
        <v>44374</v>
      </c>
      <c r="B289" s="2" t="s">
        <v>14</v>
      </c>
      <c r="C289" s="2" t="s">
        <v>9</v>
      </c>
      <c r="D289">
        <v>33149.18</v>
      </c>
      <c r="E289">
        <v>34983.42</v>
      </c>
      <c r="F289">
        <v>32374.05</v>
      </c>
      <c r="G289">
        <v>34388.620000000003</v>
      </c>
      <c r="H289">
        <v>2229.39</v>
      </c>
      <c r="I289" t="str">
        <f>TRIM(C289)</f>
        <v>BTCUSD</v>
      </c>
      <c r="J289" t="e">
        <f>LEFT(#REF!,3)</f>
        <v>#REF!</v>
      </c>
    </row>
    <row r="290" spans="1:10" hidden="1" x14ac:dyDescent="0.25">
      <c r="A290" s="1">
        <v>44354</v>
      </c>
      <c r="B290" s="2" t="s">
        <v>14</v>
      </c>
      <c r="C290" s="2" t="s">
        <v>9</v>
      </c>
      <c r="D290">
        <v>36397.5</v>
      </c>
      <c r="E290">
        <v>36798.03</v>
      </c>
      <c r="F290">
        <v>32400.01</v>
      </c>
      <c r="G290">
        <v>32843.15</v>
      </c>
      <c r="H290">
        <v>3518.6</v>
      </c>
      <c r="I290" t="str">
        <f>TRIM(C290)</f>
        <v>BTCUSD</v>
      </c>
      <c r="J290" t="e">
        <f>LEFT(#REF!,3)</f>
        <v>#REF!</v>
      </c>
    </row>
    <row r="291" spans="1:10" hidden="1" x14ac:dyDescent="0.25">
      <c r="A291" s="1">
        <v>44356</v>
      </c>
      <c r="B291" s="2" t="s">
        <v>14</v>
      </c>
      <c r="C291" s="2" t="s">
        <v>9</v>
      </c>
      <c r="D291">
        <v>32898.06</v>
      </c>
      <c r="E291">
        <v>37676.6</v>
      </c>
      <c r="F291">
        <v>32575.84</v>
      </c>
      <c r="G291">
        <v>36982.83</v>
      </c>
      <c r="H291">
        <v>4190.37</v>
      </c>
      <c r="I291" t="str">
        <f>TRIM(C291)</f>
        <v>BTCUSD</v>
      </c>
      <c r="J291" t="e">
        <f>LEFT(#REF!,3)</f>
        <v>#REF!</v>
      </c>
    </row>
    <row r="292" spans="1:10" hidden="1" x14ac:dyDescent="0.25">
      <c r="A292" s="1">
        <v>44386</v>
      </c>
      <c r="B292" s="2" t="s">
        <v>15</v>
      </c>
      <c r="C292" s="2" t="s">
        <v>9</v>
      </c>
      <c r="D292">
        <v>32954.75</v>
      </c>
      <c r="E292">
        <v>34262.53</v>
      </c>
      <c r="F292">
        <v>32625.74</v>
      </c>
      <c r="G292">
        <v>33799.81</v>
      </c>
      <c r="H292">
        <v>1273.26</v>
      </c>
      <c r="I292" t="str">
        <f>TRIM(C292)</f>
        <v>BTCUSD</v>
      </c>
      <c r="J292" t="e">
        <f>LEFT(#REF!,3)</f>
        <v>#REF!</v>
      </c>
    </row>
    <row r="293" spans="1:10" hidden="1" x14ac:dyDescent="0.25">
      <c r="A293" s="1">
        <v>44389</v>
      </c>
      <c r="B293" s="2" t="s">
        <v>15</v>
      </c>
      <c r="C293" s="2" t="s">
        <v>9</v>
      </c>
      <c r="D293">
        <v>34452.39</v>
      </c>
      <c r="E293">
        <v>34670.21</v>
      </c>
      <c r="F293">
        <v>32669.89</v>
      </c>
      <c r="G293">
        <v>33087.26</v>
      </c>
      <c r="H293">
        <v>1322.29</v>
      </c>
      <c r="I293" t="str">
        <f>TRIM(C293)</f>
        <v>BTCUSD</v>
      </c>
      <c r="J293" t="e">
        <f>LEFT(#REF!,3)</f>
        <v>#REF!</v>
      </c>
    </row>
    <row r="294" spans="1:10" hidden="1" x14ac:dyDescent="0.25">
      <c r="A294" s="1">
        <v>44379</v>
      </c>
      <c r="B294" s="2" t="s">
        <v>15</v>
      </c>
      <c r="C294" s="2" t="s">
        <v>9</v>
      </c>
      <c r="D294">
        <v>32933.440000000002</v>
      </c>
      <c r="E294">
        <v>33926.449999999997</v>
      </c>
      <c r="F294">
        <v>32700</v>
      </c>
      <c r="G294">
        <v>33540.480000000003</v>
      </c>
      <c r="H294">
        <v>1321.23</v>
      </c>
      <c r="I294" t="str">
        <f>TRIM(C294)</f>
        <v>BTCUSD</v>
      </c>
      <c r="J294" t="e">
        <f>LEFT(#REF!,3)</f>
        <v>#REF!</v>
      </c>
    </row>
    <row r="295" spans="1:10" hidden="1" x14ac:dyDescent="0.25">
      <c r="A295" s="1">
        <v>44378</v>
      </c>
      <c r="B295" s="2" t="s">
        <v>15</v>
      </c>
      <c r="C295" s="2" t="s">
        <v>9</v>
      </c>
      <c r="D295">
        <v>34132.04</v>
      </c>
      <c r="E295">
        <v>34475.550000000003</v>
      </c>
      <c r="F295">
        <v>32722.69</v>
      </c>
      <c r="G295">
        <v>32933.440000000002</v>
      </c>
      <c r="H295">
        <v>2240.46</v>
      </c>
      <c r="I295" t="str">
        <f>TRIM(C295)</f>
        <v>BTCUSD</v>
      </c>
      <c r="J295" t="e">
        <f>LEFT(#REF!,3)</f>
        <v>#REF!</v>
      </c>
    </row>
    <row r="296" spans="1:10" hidden="1" x14ac:dyDescent="0.25">
      <c r="A296" s="1">
        <v>44209</v>
      </c>
      <c r="B296" s="2" t="s">
        <v>8</v>
      </c>
      <c r="C296" s="2" t="s">
        <v>9</v>
      </c>
      <c r="D296">
        <v>33804.230000000003</v>
      </c>
      <c r="E296">
        <v>38188.33</v>
      </c>
      <c r="F296">
        <v>32800</v>
      </c>
      <c r="G296">
        <v>37040.699999999997</v>
      </c>
      <c r="H296">
        <v>4049.91</v>
      </c>
      <c r="I296" t="str">
        <f>TRIM(C296)</f>
        <v>BTCUSD</v>
      </c>
      <c r="J296" t="e">
        <f>LEFT(#REF!,3)</f>
        <v>#REF!</v>
      </c>
    </row>
    <row r="297" spans="1:10" hidden="1" x14ac:dyDescent="0.25">
      <c r="A297" s="1">
        <v>44387</v>
      </c>
      <c r="B297" s="2" t="s">
        <v>15</v>
      </c>
      <c r="C297" s="2" t="s">
        <v>9</v>
      </c>
      <c r="D297">
        <v>33799.81</v>
      </c>
      <c r="E297">
        <v>34195.26</v>
      </c>
      <c r="F297">
        <v>33046</v>
      </c>
      <c r="G297">
        <v>33420.839999999997</v>
      </c>
      <c r="H297">
        <v>803.55</v>
      </c>
      <c r="I297" t="str">
        <f>TRIM(C297)</f>
        <v>BTCUSD</v>
      </c>
      <c r="J297" t="e">
        <f>LEFT(#REF!,3)</f>
        <v>#REF!</v>
      </c>
    </row>
    <row r="298" spans="1:10" hidden="1" x14ac:dyDescent="0.25">
      <c r="A298" s="1">
        <v>44384</v>
      </c>
      <c r="B298" s="2" t="s">
        <v>15</v>
      </c>
      <c r="C298" s="2" t="s">
        <v>9</v>
      </c>
      <c r="D298">
        <v>34465.35</v>
      </c>
      <c r="E298">
        <v>35098.28</v>
      </c>
      <c r="F298">
        <v>33094.639999999999</v>
      </c>
      <c r="G298">
        <v>33337</v>
      </c>
      <c r="H298">
        <v>1485.76</v>
      </c>
      <c r="I298" t="str">
        <f>TRIM(C298)</f>
        <v>BTCUSD</v>
      </c>
      <c r="J298" t="e">
        <f>LEFT(#REF!,3)</f>
        <v>#REF!</v>
      </c>
    </row>
    <row r="299" spans="1:10" hidden="1" x14ac:dyDescent="0.25">
      <c r="A299" s="1">
        <v>44382</v>
      </c>
      <c r="B299" s="2" t="s">
        <v>15</v>
      </c>
      <c r="C299" s="2" t="s">
        <v>9</v>
      </c>
      <c r="D299">
        <v>34360.839999999997</v>
      </c>
      <c r="E299">
        <v>34559.72</v>
      </c>
      <c r="F299">
        <v>33100</v>
      </c>
      <c r="G299">
        <v>33942.22</v>
      </c>
      <c r="H299">
        <v>1323.66</v>
      </c>
      <c r="I299" t="str">
        <f>TRIM(C299)</f>
        <v>BTCUSD</v>
      </c>
      <c r="J299" t="e">
        <f>LEFT(#REF!,3)</f>
        <v>#REF!</v>
      </c>
    </row>
    <row r="300" spans="1:10" hidden="1" x14ac:dyDescent="0.25">
      <c r="A300" s="1">
        <v>44206</v>
      </c>
      <c r="B300" s="2" t="s">
        <v>8</v>
      </c>
      <c r="C300" s="2" t="s">
        <v>9</v>
      </c>
      <c r="D300">
        <v>40490.5</v>
      </c>
      <c r="E300">
        <v>41196.620000000003</v>
      </c>
      <c r="F300">
        <v>33100</v>
      </c>
      <c r="G300">
        <v>35435.129999999997</v>
      </c>
      <c r="H300">
        <v>5913.67</v>
      </c>
      <c r="I300" t="str">
        <f>TRIM(C300)</f>
        <v>BTCUSD</v>
      </c>
      <c r="J300" t="e">
        <f>LEFT(#REF!,3)</f>
        <v>#REF!</v>
      </c>
    </row>
    <row r="301" spans="1:10" hidden="1" x14ac:dyDescent="0.25">
      <c r="A301" s="1">
        <v>44228</v>
      </c>
      <c r="B301" s="2" t="s">
        <v>10</v>
      </c>
      <c r="C301" s="2" t="s">
        <v>9</v>
      </c>
      <c r="D301">
        <v>33608.78</v>
      </c>
      <c r="E301">
        <v>34700</v>
      </c>
      <c r="F301">
        <v>33106.089999999997</v>
      </c>
      <c r="G301">
        <v>33589.89</v>
      </c>
      <c r="H301">
        <v>2134.59</v>
      </c>
      <c r="I301" t="str">
        <f>TRIM(C301)</f>
        <v>BTCUSD</v>
      </c>
      <c r="J301" t="e">
        <f>LEFT(#REF!,3)</f>
        <v>#REF!</v>
      </c>
    </row>
    <row r="302" spans="1:10" hidden="1" x14ac:dyDescent="0.25">
      <c r="A302" s="1">
        <v>44226</v>
      </c>
      <c r="B302" s="2" t="s">
        <v>8</v>
      </c>
      <c r="C302" s="2" t="s">
        <v>9</v>
      </c>
      <c r="D302">
        <v>33289.129999999997</v>
      </c>
      <c r="E302">
        <v>34805.65</v>
      </c>
      <c r="F302">
        <v>33153.17</v>
      </c>
      <c r="G302">
        <v>33949.79</v>
      </c>
      <c r="H302">
        <v>1379.03</v>
      </c>
      <c r="I302" t="str">
        <f>TRIM(C302)</f>
        <v>BTCUSD</v>
      </c>
      <c r="J302" t="e">
        <f>LEFT(#REF!,3)</f>
        <v>#REF!</v>
      </c>
    </row>
    <row r="303" spans="1:10" hidden="1" x14ac:dyDescent="0.25">
      <c r="A303" s="1">
        <v>44388</v>
      </c>
      <c r="B303" s="2" t="s">
        <v>15</v>
      </c>
      <c r="C303" s="2" t="s">
        <v>9</v>
      </c>
      <c r="D303">
        <v>33420.839999999997</v>
      </c>
      <c r="E303">
        <v>34602</v>
      </c>
      <c r="F303">
        <v>33333.01</v>
      </c>
      <c r="G303">
        <v>34452.39</v>
      </c>
      <c r="H303">
        <v>816.86</v>
      </c>
      <c r="I303" t="str">
        <f>TRIM(C303)</f>
        <v>BTCUSD</v>
      </c>
      <c r="J303" t="e">
        <f>LEFT(#REF!,3)</f>
        <v>#REF!</v>
      </c>
    </row>
    <row r="304" spans="1:10" hidden="1" x14ac:dyDescent="0.25">
      <c r="A304" s="1">
        <v>44367</v>
      </c>
      <c r="B304" s="2" t="s">
        <v>14</v>
      </c>
      <c r="C304" s="2" t="s">
        <v>9</v>
      </c>
      <c r="D304">
        <v>35520.660000000003</v>
      </c>
      <c r="E304">
        <v>36128.129999999997</v>
      </c>
      <c r="F304">
        <v>33333.01</v>
      </c>
      <c r="G304">
        <v>34629.879999999997</v>
      </c>
      <c r="H304">
        <v>2816.74</v>
      </c>
      <c r="I304" t="str">
        <f>TRIM(C304)</f>
        <v>BTCUSD</v>
      </c>
      <c r="J304" t="e">
        <f>LEFT(#REF!,3)</f>
        <v>#REF!</v>
      </c>
    </row>
    <row r="305" spans="1:10" hidden="1" x14ac:dyDescent="0.25">
      <c r="A305" s="1">
        <v>44216</v>
      </c>
      <c r="B305" s="2" t="s">
        <v>8</v>
      </c>
      <c r="C305" s="2" t="s">
        <v>9</v>
      </c>
      <c r="D305">
        <v>35075.53</v>
      </c>
      <c r="E305">
        <v>35964.949999999997</v>
      </c>
      <c r="F305">
        <v>33400</v>
      </c>
      <c r="G305">
        <v>34603.74</v>
      </c>
      <c r="H305">
        <v>2900.01</v>
      </c>
      <c r="I305" t="str">
        <f>TRIM(C305)</f>
        <v>BTCUSD</v>
      </c>
      <c r="J305" t="e">
        <f>LEFT(#REF!,3)</f>
        <v>#REF!</v>
      </c>
    </row>
    <row r="306" spans="1:10" hidden="1" x14ac:dyDescent="0.25">
      <c r="A306" s="1">
        <v>44345</v>
      </c>
      <c r="B306" s="2" t="s">
        <v>13</v>
      </c>
      <c r="C306" s="2" t="s">
        <v>9</v>
      </c>
      <c r="D306">
        <v>36503.31</v>
      </c>
      <c r="E306">
        <v>37320</v>
      </c>
      <c r="F306">
        <v>33410.29</v>
      </c>
      <c r="G306">
        <v>34805.29</v>
      </c>
      <c r="H306">
        <v>2212.16</v>
      </c>
      <c r="I306" t="str">
        <f>TRIM(C306)</f>
        <v>BTCUSD</v>
      </c>
      <c r="J306" t="e">
        <f>LEFT(#REF!,3)</f>
        <v>#REF!</v>
      </c>
    </row>
    <row r="307" spans="1:10" hidden="1" x14ac:dyDescent="0.25">
      <c r="A307" s="1">
        <v>44380</v>
      </c>
      <c r="B307" s="2" t="s">
        <v>15</v>
      </c>
      <c r="C307" s="2" t="s">
        <v>9</v>
      </c>
      <c r="D307">
        <v>33540.480000000003</v>
      </c>
      <c r="E307">
        <v>34942.559999999998</v>
      </c>
      <c r="F307">
        <v>33466.620000000003</v>
      </c>
      <c r="G307">
        <v>34670</v>
      </c>
      <c r="H307">
        <v>647.92999999999995</v>
      </c>
      <c r="I307" t="str">
        <f>TRIM(C307)</f>
        <v>BTCUSD</v>
      </c>
      <c r="J307" t="e">
        <f>LEFT(#REF!,3)</f>
        <v>#REF!</v>
      </c>
    </row>
    <row r="308" spans="1:10" hidden="1" x14ac:dyDescent="0.25">
      <c r="A308" s="1">
        <v>44337</v>
      </c>
      <c r="B308" s="2" t="s">
        <v>13</v>
      </c>
      <c r="C308" s="2" t="s">
        <v>9</v>
      </c>
      <c r="D308">
        <v>40773.519999999997</v>
      </c>
      <c r="E308">
        <v>41796.74</v>
      </c>
      <c r="F308">
        <v>33500</v>
      </c>
      <c r="G308">
        <v>36963.519999999997</v>
      </c>
      <c r="H308">
        <v>7491.23</v>
      </c>
      <c r="I308" t="str">
        <f>TRIM(C308)</f>
        <v>BTCUSD</v>
      </c>
      <c r="J308" t="e">
        <f>LEFT(#REF!,3)</f>
        <v>#REF!</v>
      </c>
    </row>
    <row r="309" spans="1:10" hidden="1" x14ac:dyDescent="0.25">
      <c r="A309" s="1">
        <v>44383</v>
      </c>
      <c r="B309" s="2" t="s">
        <v>15</v>
      </c>
      <c r="C309" s="2" t="s">
        <v>9</v>
      </c>
      <c r="D309">
        <v>33942.22</v>
      </c>
      <c r="E309">
        <v>35114.32</v>
      </c>
      <c r="F309">
        <v>33530.400000000001</v>
      </c>
      <c r="G309">
        <v>34465.35</v>
      </c>
      <c r="H309">
        <v>2039.5</v>
      </c>
      <c r="I309" t="str">
        <f>TRIM(C309)</f>
        <v>BTCUSD</v>
      </c>
      <c r="J309" t="e">
        <f>LEFT(#REF!,3)</f>
        <v>#REF!</v>
      </c>
    </row>
    <row r="310" spans="1:10" hidden="1" x14ac:dyDescent="0.25">
      <c r="A310" s="1">
        <v>44229</v>
      </c>
      <c r="B310" s="2" t="s">
        <v>10</v>
      </c>
      <c r="C310" s="2" t="s">
        <v>9</v>
      </c>
      <c r="D310">
        <v>33589.89</v>
      </c>
      <c r="E310">
        <v>36545.050000000003</v>
      </c>
      <c r="F310">
        <v>33535.61</v>
      </c>
      <c r="G310">
        <v>36467.279999999999</v>
      </c>
      <c r="H310">
        <v>2328.35</v>
      </c>
      <c r="I310" t="str">
        <f>TRIM(C310)</f>
        <v>BTCUSD</v>
      </c>
      <c r="J310" t="e">
        <f>LEFT(#REF!,3)</f>
        <v>#REF!</v>
      </c>
    </row>
    <row r="311" spans="1:10" hidden="1" x14ac:dyDescent="0.25">
      <c r="A311" s="1">
        <v>44401</v>
      </c>
      <c r="B311" s="2" t="s">
        <v>15</v>
      </c>
      <c r="C311" s="2" t="s">
        <v>9</v>
      </c>
      <c r="D311">
        <v>33689.58</v>
      </c>
      <c r="E311">
        <v>34525.5</v>
      </c>
      <c r="F311">
        <v>33582.400000000001</v>
      </c>
      <c r="G311">
        <v>34192.14</v>
      </c>
      <c r="H311">
        <v>785.46</v>
      </c>
      <c r="I311" t="str">
        <f>TRIM(C311)</f>
        <v>BTCUSD</v>
      </c>
      <c r="J311" t="e">
        <f>LEFT(#REF!,3)</f>
        <v>#REF!</v>
      </c>
    </row>
    <row r="312" spans="1:10" hidden="1" x14ac:dyDescent="0.25">
      <c r="A312" s="1">
        <v>44202</v>
      </c>
      <c r="B312" s="2" t="s">
        <v>8</v>
      </c>
      <c r="C312" s="2" t="s">
        <v>9</v>
      </c>
      <c r="D312">
        <v>34228.19</v>
      </c>
      <c r="E312">
        <v>37824.480000000003</v>
      </c>
      <c r="F312">
        <v>33685.82</v>
      </c>
      <c r="G312">
        <v>37613.11</v>
      </c>
      <c r="H312">
        <v>4925</v>
      </c>
      <c r="I312" t="str">
        <f>TRIM(C312)</f>
        <v>BTCUSD</v>
      </c>
      <c r="J312" t="e">
        <f>LEFT(#REF!,3)</f>
        <v>#REF!</v>
      </c>
    </row>
    <row r="313" spans="1:10" hidden="1" x14ac:dyDescent="0.25">
      <c r="A313" s="1">
        <v>44213</v>
      </c>
      <c r="B313" s="2" t="s">
        <v>8</v>
      </c>
      <c r="C313" s="2" t="s">
        <v>9</v>
      </c>
      <c r="D313">
        <v>36215.22</v>
      </c>
      <c r="E313">
        <v>36840.11</v>
      </c>
      <c r="F313">
        <v>33868.959999999999</v>
      </c>
      <c r="G313">
        <v>35089.93</v>
      </c>
      <c r="H313">
        <v>1759.94</v>
      </c>
      <c r="I313" t="str">
        <f>TRIM(C313)</f>
        <v>BTCUSD</v>
      </c>
      <c r="J313" t="e">
        <f>LEFT(#REF!,3)</f>
        <v>#REF!</v>
      </c>
    </row>
    <row r="314" spans="1:10" hidden="1" x14ac:dyDescent="0.25">
      <c r="A314" s="1">
        <v>44375</v>
      </c>
      <c r="B314" s="2" t="s">
        <v>14</v>
      </c>
      <c r="C314" s="2" t="s">
        <v>9</v>
      </c>
      <c r="D314">
        <v>34388.620000000003</v>
      </c>
      <c r="E314">
        <v>35286.03</v>
      </c>
      <c r="F314">
        <v>33885.15</v>
      </c>
      <c r="G314">
        <v>34591.620000000003</v>
      </c>
      <c r="H314">
        <v>2923.54</v>
      </c>
      <c r="I314" t="str">
        <f>TRIM(C314)</f>
        <v>BTCUSD</v>
      </c>
      <c r="J314" t="e">
        <f>LEFT(#REF!,3)</f>
        <v>#REF!</v>
      </c>
    </row>
    <row r="315" spans="1:10" hidden="1" x14ac:dyDescent="0.25">
      <c r="A315" s="1">
        <v>44402</v>
      </c>
      <c r="B315" s="2" t="s">
        <v>15</v>
      </c>
      <c r="C315" s="2" t="s">
        <v>9</v>
      </c>
      <c r="D315">
        <v>34192.14</v>
      </c>
      <c r="E315">
        <v>39782.93</v>
      </c>
      <c r="F315">
        <v>33894.22</v>
      </c>
      <c r="G315">
        <v>38312.57</v>
      </c>
      <c r="H315">
        <v>3558.08</v>
      </c>
      <c r="I315" t="str">
        <f>TRIM(C315)</f>
        <v>BTCUSD</v>
      </c>
      <c r="J315" t="e">
        <f>LEFT(#REF!,3)</f>
        <v>#REF!</v>
      </c>
    </row>
    <row r="316" spans="1:10" hidden="1" x14ac:dyDescent="0.25">
      <c r="A316" s="1">
        <v>44377</v>
      </c>
      <c r="B316" s="2" t="s">
        <v>14</v>
      </c>
      <c r="C316" s="2" t="s">
        <v>9</v>
      </c>
      <c r="D316">
        <v>35095.440000000002</v>
      </c>
      <c r="E316">
        <v>35333.25</v>
      </c>
      <c r="F316">
        <v>34050</v>
      </c>
      <c r="G316">
        <v>34132.04</v>
      </c>
      <c r="H316">
        <v>2031.63</v>
      </c>
      <c r="I316" t="str">
        <f>TRIM(C316)</f>
        <v>BTCUSD</v>
      </c>
      <c r="J316" t="e">
        <f>LEFT(#REF!,3)</f>
        <v>#REF!</v>
      </c>
    </row>
    <row r="317" spans="1:10" hidden="1" x14ac:dyDescent="0.25">
      <c r="A317" s="1">
        <v>44347</v>
      </c>
      <c r="B317" s="2" t="s">
        <v>13</v>
      </c>
      <c r="C317" s="2" t="s">
        <v>9</v>
      </c>
      <c r="D317">
        <v>34536.71</v>
      </c>
      <c r="E317">
        <v>37912.870000000003</v>
      </c>
      <c r="F317">
        <v>34200</v>
      </c>
      <c r="G317">
        <v>36702.879999999997</v>
      </c>
      <c r="H317">
        <v>1649.4</v>
      </c>
      <c r="I317" t="str">
        <f>TRIM(C317)</f>
        <v>BTCUSD</v>
      </c>
      <c r="J317" t="e">
        <f>LEFT(#REF!,3)</f>
        <v>#REF!</v>
      </c>
    </row>
    <row r="318" spans="1:10" hidden="1" x14ac:dyDescent="0.25">
      <c r="A318" s="1">
        <v>44381</v>
      </c>
      <c r="B318" s="2" t="s">
        <v>15</v>
      </c>
      <c r="C318" s="2" t="s">
        <v>9</v>
      </c>
      <c r="D318">
        <v>34670</v>
      </c>
      <c r="E318">
        <v>35985.71</v>
      </c>
      <c r="F318">
        <v>34211.29</v>
      </c>
      <c r="G318">
        <v>34360.839999999997</v>
      </c>
      <c r="H318">
        <v>1073.5999999999999</v>
      </c>
      <c r="I318" t="str">
        <f>TRIM(C318)</f>
        <v>BTCUSD</v>
      </c>
      <c r="J318" t="e">
        <f>LEFT(#REF!,3)</f>
        <v>#REF!</v>
      </c>
    </row>
    <row r="319" spans="1:10" hidden="1" x14ac:dyDescent="0.25">
      <c r="A319" s="1">
        <v>44346</v>
      </c>
      <c r="B319" s="2" t="s">
        <v>13</v>
      </c>
      <c r="C319" s="2" t="s">
        <v>9</v>
      </c>
      <c r="D319">
        <v>34805.29</v>
      </c>
      <c r="E319">
        <v>36523.24</v>
      </c>
      <c r="F319">
        <v>34298.01</v>
      </c>
      <c r="G319">
        <v>34536.71</v>
      </c>
      <c r="H319">
        <v>1562.38</v>
      </c>
      <c r="I319" t="str">
        <f>TRIM(C319)</f>
        <v>BTCUSD</v>
      </c>
      <c r="J319" t="e">
        <f>LEFT(#REF!,3)</f>
        <v>#REF!</v>
      </c>
    </row>
    <row r="320" spans="1:10" hidden="1" x14ac:dyDescent="0.25">
      <c r="A320" s="1">
        <v>44211</v>
      </c>
      <c r="B320" s="2" t="s">
        <v>8</v>
      </c>
      <c r="C320" s="2" t="s">
        <v>9</v>
      </c>
      <c r="D320">
        <v>38706.519999999997</v>
      </c>
      <c r="E320">
        <v>38849.96</v>
      </c>
      <c r="F320">
        <v>34353.629999999997</v>
      </c>
      <c r="G320">
        <v>36549.31</v>
      </c>
      <c r="H320">
        <v>4503.99</v>
      </c>
      <c r="I320" t="str">
        <f>TRIM(C320)</f>
        <v>BTCUSD</v>
      </c>
      <c r="J320" t="e">
        <f>LEFT(#REF!,3)</f>
        <v>#REF!</v>
      </c>
    </row>
    <row r="321" spans="1:10" hidden="1" x14ac:dyDescent="0.25">
      <c r="A321" s="1">
        <v>44340</v>
      </c>
      <c r="B321" s="2" t="s">
        <v>13</v>
      </c>
      <c r="C321" s="2" t="s">
        <v>9</v>
      </c>
      <c r="D321">
        <v>35318.86</v>
      </c>
      <c r="E321">
        <v>39953.65</v>
      </c>
      <c r="F321">
        <v>34426.410000000003</v>
      </c>
      <c r="G321">
        <v>38388.089999999997</v>
      </c>
      <c r="H321">
        <v>4706.08</v>
      </c>
      <c r="I321" t="str">
        <f>TRIM(C321)</f>
        <v>BTCUSD</v>
      </c>
      <c r="J321" t="e">
        <f>LEFT(#REF!,3)</f>
        <v>#REF!</v>
      </c>
    </row>
    <row r="322" spans="1:10" hidden="1" x14ac:dyDescent="0.25">
      <c r="A322" s="1">
        <v>44376</v>
      </c>
      <c r="B322" s="2" t="s">
        <v>14</v>
      </c>
      <c r="C322" s="2" t="s">
        <v>9</v>
      </c>
      <c r="D322">
        <v>34591.620000000003</v>
      </c>
      <c r="E322">
        <v>36661.800000000003</v>
      </c>
      <c r="F322">
        <v>34556.07</v>
      </c>
      <c r="G322">
        <v>35095.440000000002</v>
      </c>
      <c r="H322">
        <v>3012.66</v>
      </c>
      <c r="I322" t="str">
        <f>TRIM(C322)</f>
        <v>BTCUSD</v>
      </c>
      <c r="J322" t="e">
        <f>LEFT(#REF!,3)</f>
        <v>#REF!</v>
      </c>
    </row>
    <row r="323" spans="1:10" hidden="1" x14ac:dyDescent="0.25">
      <c r="A323" s="1">
        <v>44344</v>
      </c>
      <c r="B323" s="2" t="s">
        <v>13</v>
      </c>
      <c r="C323" s="2" t="s">
        <v>9</v>
      </c>
      <c r="D323">
        <v>38271.589999999997</v>
      </c>
      <c r="E323">
        <v>38271.589999999997</v>
      </c>
      <c r="F323">
        <v>34558</v>
      </c>
      <c r="G323">
        <v>36503.31</v>
      </c>
      <c r="H323">
        <v>3541.35</v>
      </c>
      <c r="I323" t="str">
        <f>TRIM(C323)</f>
        <v>BTCUSD</v>
      </c>
      <c r="J323" t="e">
        <f>LEFT(#REF!,3)</f>
        <v>#REF!</v>
      </c>
    </row>
    <row r="324" spans="1:10" hidden="1" x14ac:dyDescent="0.25">
      <c r="A324" s="1">
        <v>44359</v>
      </c>
      <c r="B324" s="2" t="s">
        <v>14</v>
      </c>
      <c r="C324" s="2" t="s">
        <v>9</v>
      </c>
      <c r="D324">
        <v>35591.29</v>
      </c>
      <c r="E324">
        <v>36222.800000000003</v>
      </c>
      <c r="F324">
        <v>34655.99</v>
      </c>
      <c r="G324">
        <v>34877.300000000003</v>
      </c>
      <c r="H324">
        <v>1298.1600000000001</v>
      </c>
      <c r="I324" t="str">
        <f>TRIM(C324)</f>
        <v>BTCUSD</v>
      </c>
      <c r="J324" t="e">
        <f>LEFT(#REF!,3)</f>
        <v>#REF!</v>
      </c>
    </row>
    <row r="325" spans="1:10" hidden="1" x14ac:dyDescent="0.25">
      <c r="A325" s="1">
        <v>44214</v>
      </c>
      <c r="B325" s="2" t="s">
        <v>8</v>
      </c>
      <c r="C325" s="2" t="s">
        <v>9</v>
      </c>
      <c r="D325">
        <v>35089.93</v>
      </c>
      <c r="E325">
        <v>37469.21</v>
      </c>
      <c r="F325">
        <v>34778</v>
      </c>
      <c r="G325">
        <v>36509.42</v>
      </c>
      <c r="H325">
        <v>2083.84</v>
      </c>
      <c r="I325" t="str">
        <f>TRIM(C325)</f>
        <v>BTCUSD</v>
      </c>
      <c r="J325" t="e">
        <f>LEFT(#REF!,3)</f>
        <v>#REF!</v>
      </c>
    </row>
    <row r="326" spans="1:10" hidden="1" x14ac:dyDescent="0.25">
      <c r="A326" s="1">
        <v>44360</v>
      </c>
      <c r="B326" s="2" t="s">
        <v>14</v>
      </c>
      <c r="C326" s="2" t="s">
        <v>9</v>
      </c>
      <c r="D326">
        <v>34877.300000000003</v>
      </c>
      <c r="E326">
        <v>39816.720000000001</v>
      </c>
      <c r="F326">
        <v>34792.660000000003</v>
      </c>
      <c r="G326">
        <v>38988.5</v>
      </c>
      <c r="H326">
        <v>2406.83</v>
      </c>
      <c r="I326" t="str">
        <f>TRIM(C326)</f>
        <v>BTCUSD</v>
      </c>
      <c r="J326" t="e">
        <f>LEFT(#REF!,3)</f>
        <v>#REF!</v>
      </c>
    </row>
    <row r="327" spans="1:10" hidden="1" x14ac:dyDescent="0.25">
      <c r="A327" s="1">
        <v>44352</v>
      </c>
      <c r="B327" s="2" t="s">
        <v>14</v>
      </c>
      <c r="C327" s="2" t="s">
        <v>9</v>
      </c>
      <c r="D327">
        <v>37419.82</v>
      </c>
      <c r="E327">
        <v>37918.57</v>
      </c>
      <c r="F327">
        <v>34820</v>
      </c>
      <c r="G327">
        <v>36025.160000000003</v>
      </c>
      <c r="H327">
        <v>2454.4299999999998</v>
      </c>
      <c r="I327" t="str">
        <f>TRIM(C327)</f>
        <v>BTCUSD</v>
      </c>
      <c r="J327" t="e">
        <f>LEFT(#REF!,3)</f>
        <v>#REF!</v>
      </c>
    </row>
    <row r="328" spans="1:10" hidden="1" x14ac:dyDescent="0.25">
      <c r="A328" s="1">
        <v>44365</v>
      </c>
      <c r="B328" s="2" t="s">
        <v>14</v>
      </c>
      <c r="C328" s="2" t="s">
        <v>9</v>
      </c>
      <c r="D328">
        <v>37938.199999999997</v>
      </c>
      <c r="E328">
        <v>38129.089999999997</v>
      </c>
      <c r="F328">
        <v>34845.33</v>
      </c>
      <c r="G328">
        <v>35129.230000000003</v>
      </c>
      <c r="H328">
        <v>2958.68</v>
      </c>
      <c r="I328" t="str">
        <f>TRIM(C328)</f>
        <v>BTCUSD</v>
      </c>
      <c r="J328" t="e">
        <f>LEFT(#REF!,3)</f>
        <v>#REF!</v>
      </c>
    </row>
    <row r="329" spans="1:10" hidden="1" x14ac:dyDescent="0.25">
      <c r="A329" s="1">
        <v>44366</v>
      </c>
      <c r="B329" s="2" t="s">
        <v>14</v>
      </c>
      <c r="C329" s="2" t="s">
        <v>9</v>
      </c>
      <c r="D329">
        <v>35129.230000000003</v>
      </c>
      <c r="E329">
        <v>36464.629999999997</v>
      </c>
      <c r="F329">
        <v>34970.25</v>
      </c>
      <c r="G329">
        <v>35520.660000000003</v>
      </c>
      <c r="H329">
        <v>1611.01</v>
      </c>
      <c r="I329" t="str">
        <f>TRIM(C329)</f>
        <v>BTCUSD</v>
      </c>
      <c r="J329" t="e">
        <f>LEFT(#REF!,3)</f>
        <v>#REF!</v>
      </c>
    </row>
    <row r="330" spans="1:10" hidden="1" x14ac:dyDescent="0.25">
      <c r="A330" s="1">
        <v>44215</v>
      </c>
      <c r="B330" s="2" t="s">
        <v>8</v>
      </c>
      <c r="C330" s="2" t="s">
        <v>9</v>
      </c>
      <c r="D330">
        <v>36509.42</v>
      </c>
      <c r="E330">
        <v>37934.199999999997</v>
      </c>
      <c r="F330">
        <v>35005</v>
      </c>
      <c r="G330">
        <v>35075.53</v>
      </c>
      <c r="H330">
        <v>2726.29</v>
      </c>
      <c r="I330" t="str">
        <f>TRIM(C330)</f>
        <v>BTCUSD</v>
      </c>
      <c r="J330" t="e">
        <f>LEFT(#REF!,3)</f>
        <v>#REF!</v>
      </c>
    </row>
    <row r="331" spans="1:10" hidden="1" x14ac:dyDescent="0.25">
      <c r="A331" s="1">
        <v>44353</v>
      </c>
      <c r="B331" s="2" t="s">
        <v>14</v>
      </c>
      <c r="C331" s="2" t="s">
        <v>9</v>
      </c>
      <c r="D331">
        <v>36025.160000000003</v>
      </c>
      <c r="E331">
        <v>36812.089999999997</v>
      </c>
      <c r="F331">
        <v>35259.980000000003</v>
      </c>
      <c r="G331">
        <v>36397.5</v>
      </c>
      <c r="H331">
        <v>1007.72</v>
      </c>
      <c r="I331" t="str">
        <f>TRIM(C331)</f>
        <v>BTCUSD</v>
      </c>
      <c r="J331" t="e">
        <f>LEFT(#REF!,3)</f>
        <v>#REF!</v>
      </c>
    </row>
    <row r="332" spans="1:10" hidden="1" x14ac:dyDescent="0.25">
      <c r="A332" s="1">
        <v>44338</v>
      </c>
      <c r="B332" s="2" t="s">
        <v>13</v>
      </c>
      <c r="C332" s="2" t="s">
        <v>9</v>
      </c>
      <c r="D332">
        <v>36963.519999999997</v>
      </c>
      <c r="E332">
        <v>38861.15</v>
      </c>
      <c r="F332">
        <v>35272.089999999997</v>
      </c>
      <c r="G332">
        <v>37484.18</v>
      </c>
      <c r="H332">
        <v>2418.86</v>
      </c>
      <c r="I332" t="str">
        <f>TRIM(C332)</f>
        <v>BTCUSD</v>
      </c>
      <c r="J332" t="e">
        <f>LEFT(#REF!,3)</f>
        <v>#REF!</v>
      </c>
    </row>
    <row r="333" spans="1:10" hidden="1" x14ac:dyDescent="0.25">
      <c r="A333" s="1">
        <v>44358</v>
      </c>
      <c r="B333" s="2" t="s">
        <v>14</v>
      </c>
      <c r="C333" s="2" t="s">
        <v>9</v>
      </c>
      <c r="D333">
        <v>36784.370000000003</v>
      </c>
      <c r="E333">
        <v>37690</v>
      </c>
      <c r="F333">
        <v>35307.69</v>
      </c>
      <c r="G333">
        <v>35591.29</v>
      </c>
      <c r="H333">
        <v>2027.8</v>
      </c>
      <c r="I333" t="str">
        <f>TRIM(C333)</f>
        <v>BTCUSD</v>
      </c>
      <c r="J333" t="e">
        <f>LEFT(#REF!,3)</f>
        <v>#REF!</v>
      </c>
    </row>
    <row r="334" spans="1:10" hidden="1" x14ac:dyDescent="0.25">
      <c r="A334" s="1">
        <v>44212</v>
      </c>
      <c r="B334" s="2" t="s">
        <v>8</v>
      </c>
      <c r="C334" s="2" t="s">
        <v>9</v>
      </c>
      <c r="D334">
        <v>36549.31</v>
      </c>
      <c r="E334">
        <v>37949.71</v>
      </c>
      <c r="F334">
        <v>35400.01</v>
      </c>
      <c r="G334">
        <v>36215.22</v>
      </c>
      <c r="H334">
        <v>1855.53</v>
      </c>
      <c r="I334" t="str">
        <f>TRIM(C334)</f>
        <v>BTCUSD</v>
      </c>
      <c r="J334" t="e">
        <f>LEFT(#REF!,3)</f>
        <v>#REF!</v>
      </c>
    </row>
    <row r="335" spans="1:10" hidden="1" x14ac:dyDescent="0.25">
      <c r="A335" s="1">
        <v>44351</v>
      </c>
      <c r="B335" s="2" t="s">
        <v>14</v>
      </c>
      <c r="C335" s="2" t="s">
        <v>9</v>
      </c>
      <c r="D335">
        <v>37963.61</v>
      </c>
      <c r="E335">
        <v>37963.61</v>
      </c>
      <c r="F335">
        <v>35580.82</v>
      </c>
      <c r="G335">
        <v>37419.82</v>
      </c>
      <c r="H335">
        <v>2300.7600000000002</v>
      </c>
      <c r="I335" t="str">
        <f>TRIM(C335)</f>
        <v>BTCUSD</v>
      </c>
      <c r="J335" t="e">
        <f>LEFT(#REF!,3)</f>
        <v>#REF!</v>
      </c>
    </row>
    <row r="336" spans="1:10" hidden="1" x14ac:dyDescent="0.25">
      <c r="A336" s="1">
        <v>44230</v>
      </c>
      <c r="B336" s="2" t="s">
        <v>10</v>
      </c>
      <c r="C336" s="2" t="s">
        <v>9</v>
      </c>
      <c r="D336">
        <v>36467.279999999999</v>
      </c>
      <c r="E336">
        <v>38375</v>
      </c>
      <c r="F336">
        <v>35583.18</v>
      </c>
      <c r="G336">
        <v>37551.56</v>
      </c>
      <c r="H336">
        <v>2559.71</v>
      </c>
      <c r="I336" t="str">
        <f>TRIM(C336)</f>
        <v>BTCUSD</v>
      </c>
      <c r="J336" t="e">
        <f>LEFT(#REF!,3)</f>
        <v>#REF!</v>
      </c>
    </row>
    <row r="337" spans="1:10" hidden="1" x14ac:dyDescent="0.25">
      <c r="A337" s="1">
        <v>44348</v>
      </c>
      <c r="B337" s="2" t="s">
        <v>14</v>
      </c>
      <c r="C337" s="2" t="s">
        <v>9</v>
      </c>
      <c r="D337">
        <v>36702.879999999997</v>
      </c>
      <c r="E337">
        <v>37448.019999999997</v>
      </c>
      <c r="F337">
        <v>35687</v>
      </c>
      <c r="G337">
        <v>36483.57</v>
      </c>
      <c r="H337">
        <v>2347.2600000000002</v>
      </c>
      <c r="I337" t="str">
        <f>TRIM(C337)</f>
        <v>BTCUSD</v>
      </c>
      <c r="J337" t="e">
        <f>LEFT(#REF!,3)</f>
        <v>#REF!</v>
      </c>
    </row>
    <row r="338" spans="1:10" hidden="1" x14ac:dyDescent="0.25">
      <c r="A338" s="1">
        <v>44357</v>
      </c>
      <c r="B338" s="2" t="s">
        <v>14</v>
      </c>
      <c r="C338" s="2" t="s">
        <v>9</v>
      </c>
      <c r="D338">
        <v>36982.83</v>
      </c>
      <c r="E338">
        <v>38437.019999999997</v>
      </c>
      <c r="F338">
        <v>35819.67</v>
      </c>
      <c r="G338">
        <v>36784.370000000003</v>
      </c>
      <c r="H338">
        <v>2959.52</v>
      </c>
      <c r="I338" t="str">
        <f>TRIM(C338)</f>
        <v>BTCUSD</v>
      </c>
      <c r="J338" t="e">
        <f>LEFT(#REF!,3)</f>
        <v>#REF!</v>
      </c>
    </row>
    <row r="339" spans="1:10" hidden="1" x14ac:dyDescent="0.25">
      <c r="A339" s="1">
        <v>44203</v>
      </c>
      <c r="B339" s="2" t="s">
        <v>8</v>
      </c>
      <c r="C339" s="2" t="s">
        <v>9</v>
      </c>
      <c r="D339">
        <v>37613.11</v>
      </c>
      <c r="E339">
        <v>40396</v>
      </c>
      <c r="F339">
        <v>36129.050000000003</v>
      </c>
      <c r="G339">
        <v>38474.78</v>
      </c>
      <c r="H339">
        <v>5743.52</v>
      </c>
      <c r="I339" t="str">
        <f>TRIM(C339)</f>
        <v>BTCUSD</v>
      </c>
      <c r="J339" t="e">
        <f>LEFT(#REF!,3)</f>
        <v>#REF!</v>
      </c>
    </row>
    <row r="340" spans="1:10" hidden="1" x14ac:dyDescent="0.25">
      <c r="A340" s="1">
        <v>44231</v>
      </c>
      <c r="B340" s="2" t="s">
        <v>10</v>
      </c>
      <c r="C340" s="2" t="s">
        <v>9</v>
      </c>
      <c r="D340">
        <v>37551.56</v>
      </c>
      <c r="E340">
        <v>38785.99</v>
      </c>
      <c r="F340">
        <v>36211.08</v>
      </c>
      <c r="G340">
        <v>37380.18</v>
      </c>
      <c r="H340">
        <v>2637.09</v>
      </c>
      <c r="I340" t="str">
        <f>TRIM(C340)</f>
        <v>BTCUSD</v>
      </c>
      <c r="J340" t="e">
        <f>LEFT(#REF!,3)</f>
        <v>#REF!</v>
      </c>
    </row>
    <row r="341" spans="1:10" hidden="1" x14ac:dyDescent="0.25">
      <c r="A341" s="1">
        <v>44403</v>
      </c>
      <c r="B341" s="2" t="s">
        <v>15</v>
      </c>
      <c r="C341" s="2" t="s">
        <v>9</v>
      </c>
      <c r="D341">
        <v>38312.57</v>
      </c>
      <c r="E341">
        <v>40572.449999999997</v>
      </c>
      <c r="F341">
        <v>36400</v>
      </c>
      <c r="G341">
        <v>36851.519999999997</v>
      </c>
      <c r="H341">
        <v>5021.1099999999997</v>
      </c>
      <c r="I341" t="str">
        <f>TRIM(C341)</f>
        <v>BTCUSD</v>
      </c>
      <c r="J341" t="e">
        <f>LEFT(#REF!,3)</f>
        <v>#REF!</v>
      </c>
    </row>
    <row r="342" spans="1:10" hidden="1" x14ac:dyDescent="0.25">
      <c r="A342" s="1">
        <v>44349</v>
      </c>
      <c r="B342" s="2" t="s">
        <v>14</v>
      </c>
      <c r="C342" s="2" t="s">
        <v>9</v>
      </c>
      <c r="D342">
        <v>36483.57</v>
      </c>
      <c r="E342">
        <v>38256.400000000001</v>
      </c>
      <c r="F342">
        <v>36478.97</v>
      </c>
      <c r="G342">
        <v>37655.54</v>
      </c>
      <c r="H342">
        <v>1612.75</v>
      </c>
      <c r="I342" t="str">
        <f>TRIM(C342)</f>
        <v>BTCUSD</v>
      </c>
      <c r="J342" t="e">
        <f>LEFT(#REF!,3)</f>
        <v>#REF!</v>
      </c>
    </row>
    <row r="343" spans="1:10" hidden="1" x14ac:dyDescent="0.25">
      <c r="A343" s="1">
        <v>44341</v>
      </c>
      <c r="B343" s="2" t="s">
        <v>13</v>
      </c>
      <c r="C343" s="2" t="s">
        <v>9</v>
      </c>
      <c r="D343">
        <v>38388.089999999997</v>
      </c>
      <c r="E343">
        <v>39760.959999999999</v>
      </c>
      <c r="F343">
        <v>36489.42</v>
      </c>
      <c r="G343">
        <v>39572.33</v>
      </c>
      <c r="H343">
        <v>2909.35</v>
      </c>
      <c r="I343" t="str">
        <f>TRIM(C343)</f>
        <v>BTCUSD</v>
      </c>
      <c r="J343" t="e">
        <f>LEFT(#REF!,3)</f>
        <v>#REF!</v>
      </c>
    </row>
    <row r="344" spans="1:10" hidden="1" x14ac:dyDescent="0.25">
      <c r="A344" s="1">
        <v>44404</v>
      </c>
      <c r="B344" s="2" t="s">
        <v>15</v>
      </c>
      <c r="C344" s="2" t="s">
        <v>9</v>
      </c>
      <c r="D344">
        <v>36851.519999999997</v>
      </c>
      <c r="E344">
        <v>40366.57</v>
      </c>
      <c r="F344">
        <v>36713.129999999997</v>
      </c>
      <c r="G344">
        <v>39848.44</v>
      </c>
      <c r="H344">
        <v>5729.11</v>
      </c>
      <c r="I344" t="str">
        <f>TRIM(C344)</f>
        <v>BTCUSD</v>
      </c>
      <c r="J344" t="e">
        <f>LEFT(#REF!,3)</f>
        <v>#REF!</v>
      </c>
    </row>
    <row r="345" spans="1:10" hidden="1" x14ac:dyDescent="0.25">
      <c r="A345" s="1">
        <v>44210</v>
      </c>
      <c r="B345" s="2" t="s">
        <v>8</v>
      </c>
      <c r="C345" s="2" t="s">
        <v>9</v>
      </c>
      <c r="D345">
        <v>37040.699999999997</v>
      </c>
      <c r="E345">
        <v>40112.79</v>
      </c>
      <c r="F345">
        <v>36751.4</v>
      </c>
      <c r="G345">
        <v>38706.519999999997</v>
      </c>
      <c r="H345">
        <v>2686.51</v>
      </c>
      <c r="I345" t="str">
        <f>TRIM(C345)</f>
        <v>BTCUSD</v>
      </c>
      <c r="J345" t="e">
        <f>LEFT(#REF!,3)</f>
        <v>#REF!</v>
      </c>
    </row>
    <row r="346" spans="1:10" hidden="1" x14ac:dyDescent="0.25">
      <c r="A346" s="1">
        <v>44232</v>
      </c>
      <c r="B346" s="2" t="s">
        <v>10</v>
      </c>
      <c r="C346" s="2" t="s">
        <v>9</v>
      </c>
      <c r="D346">
        <v>37380.18</v>
      </c>
      <c r="E346">
        <v>39700</v>
      </c>
      <c r="F346">
        <v>37057.78</v>
      </c>
      <c r="G346">
        <v>39415.760000000002</v>
      </c>
      <c r="H346">
        <v>2032.78</v>
      </c>
      <c r="I346" t="str">
        <f>TRIM(C346)</f>
        <v>BTCUSD</v>
      </c>
      <c r="J346" t="e">
        <f>LEFT(#REF!,3)</f>
        <v>#REF!</v>
      </c>
    </row>
    <row r="347" spans="1:10" hidden="1" x14ac:dyDescent="0.25">
      <c r="A347" s="1">
        <v>44342</v>
      </c>
      <c r="B347" s="2" t="s">
        <v>13</v>
      </c>
      <c r="C347" s="2" t="s">
        <v>9</v>
      </c>
      <c r="D347">
        <v>39572.33</v>
      </c>
      <c r="E347">
        <v>40861.199999999997</v>
      </c>
      <c r="F347">
        <v>37117.089999999997</v>
      </c>
      <c r="G347">
        <v>37672.47</v>
      </c>
      <c r="H347">
        <v>3101.07</v>
      </c>
      <c r="I347" t="str">
        <f>TRIM(C347)</f>
        <v>BTCUSD</v>
      </c>
      <c r="J347" t="e">
        <f>LEFT(#REF!,3)</f>
        <v>#REF!</v>
      </c>
    </row>
    <row r="348" spans="1:10" hidden="1" x14ac:dyDescent="0.25">
      <c r="A348" s="1">
        <v>44364</v>
      </c>
      <c r="B348" s="2" t="s">
        <v>14</v>
      </c>
      <c r="C348" s="2" t="s">
        <v>9</v>
      </c>
      <c r="D348">
        <v>38875</v>
      </c>
      <c r="E348">
        <v>39575.03</v>
      </c>
      <c r="F348">
        <v>37221.620000000003</v>
      </c>
      <c r="G348">
        <v>37938.199999999997</v>
      </c>
      <c r="H348">
        <v>2524.23</v>
      </c>
      <c r="I348" t="str">
        <f>TRIM(C348)</f>
        <v>BTCUSD</v>
      </c>
      <c r="J348" t="e">
        <f>LEFT(#REF!,3)</f>
        <v>#REF!</v>
      </c>
    </row>
    <row r="349" spans="1:10" hidden="1" x14ac:dyDescent="0.25">
      <c r="A349" s="1">
        <v>44343</v>
      </c>
      <c r="B349" s="2" t="s">
        <v>13</v>
      </c>
      <c r="C349" s="2" t="s">
        <v>9</v>
      </c>
      <c r="D349">
        <v>37672.47</v>
      </c>
      <c r="E349">
        <v>40432.400000000001</v>
      </c>
      <c r="F349">
        <v>37302.06</v>
      </c>
      <c r="G349">
        <v>38271.589999999997</v>
      </c>
      <c r="H349">
        <v>2140.75</v>
      </c>
      <c r="I349" t="str">
        <f>TRIM(C349)</f>
        <v>BTCUSD</v>
      </c>
      <c r="J349" t="e">
        <f>LEFT(#REF!,3)</f>
        <v>#REF!</v>
      </c>
    </row>
    <row r="350" spans="1:10" hidden="1" x14ac:dyDescent="0.25">
      <c r="A350" s="1">
        <v>44413</v>
      </c>
      <c r="B350" s="2" t="s">
        <v>16</v>
      </c>
      <c r="C350" s="2" t="s">
        <v>9</v>
      </c>
      <c r="D350">
        <v>39440.620000000003</v>
      </c>
      <c r="E350">
        <v>41431.18</v>
      </c>
      <c r="F350">
        <v>37311.06</v>
      </c>
      <c r="G350">
        <v>40250.79</v>
      </c>
      <c r="H350">
        <v>3715.5</v>
      </c>
      <c r="I350" t="str">
        <f>TRIM(C350)</f>
        <v>BTCUSD</v>
      </c>
      <c r="J350" t="e">
        <f>LEFT(#REF!,3)</f>
        <v>#REF!</v>
      </c>
    </row>
    <row r="351" spans="1:10" hidden="1" x14ac:dyDescent="0.25">
      <c r="A351" s="1">
        <v>44350</v>
      </c>
      <c r="B351" s="2" t="s">
        <v>14</v>
      </c>
      <c r="C351" s="2" t="s">
        <v>9</v>
      </c>
      <c r="D351">
        <v>37655.54</v>
      </c>
      <c r="E351">
        <v>39487.910000000003</v>
      </c>
      <c r="F351">
        <v>37400</v>
      </c>
      <c r="G351">
        <v>37963.61</v>
      </c>
      <c r="H351">
        <v>1786.28</v>
      </c>
      <c r="I351" t="str">
        <f>TRIM(C351)</f>
        <v>BTCUSD</v>
      </c>
      <c r="J351" t="e">
        <f>LEFT(#REF!,3)</f>
        <v>#REF!</v>
      </c>
    </row>
    <row r="352" spans="1:10" hidden="1" x14ac:dyDescent="0.25">
      <c r="A352" s="1">
        <v>44234</v>
      </c>
      <c r="B352" s="2" t="s">
        <v>10</v>
      </c>
      <c r="C352" s="2" t="s">
        <v>9</v>
      </c>
      <c r="D352">
        <v>38897.949999999997</v>
      </c>
      <c r="E352">
        <v>39748.959999999999</v>
      </c>
      <c r="F352">
        <v>37400</v>
      </c>
      <c r="G352">
        <v>38107.339999999997</v>
      </c>
      <c r="H352">
        <v>1239.8699999999999</v>
      </c>
      <c r="I352" t="str">
        <f>TRIM(C352)</f>
        <v>BTCUSD</v>
      </c>
      <c r="J352" t="e">
        <f>LEFT(#REF!,3)</f>
        <v>#REF!</v>
      </c>
    </row>
    <row r="353" spans="1:10" hidden="1" x14ac:dyDescent="0.25">
      <c r="A353" s="1">
        <v>44412</v>
      </c>
      <c r="B353" s="2" t="s">
        <v>16</v>
      </c>
      <c r="C353" s="2" t="s">
        <v>9</v>
      </c>
      <c r="D353">
        <v>37962.25</v>
      </c>
      <c r="E353">
        <v>39973.96</v>
      </c>
      <c r="F353">
        <v>37472.15</v>
      </c>
      <c r="G353">
        <v>39440.620000000003</v>
      </c>
      <c r="H353">
        <v>1911.35</v>
      </c>
      <c r="I353" t="str">
        <f>TRIM(C353)</f>
        <v>BTCUSD</v>
      </c>
      <c r="J353" t="e">
        <f>LEFT(#REF!,3)</f>
        <v>#REF!</v>
      </c>
    </row>
    <row r="354" spans="1:10" hidden="1" x14ac:dyDescent="0.25">
      <c r="A354" s="1">
        <v>44411</v>
      </c>
      <c r="B354" s="2" t="s">
        <v>16</v>
      </c>
      <c r="C354" s="2" t="s">
        <v>9</v>
      </c>
      <c r="D354">
        <v>38650</v>
      </c>
      <c r="E354">
        <v>38824.81</v>
      </c>
      <c r="F354">
        <v>37558.089999999997</v>
      </c>
      <c r="G354">
        <v>37962.25</v>
      </c>
      <c r="H354">
        <v>2750.52</v>
      </c>
      <c r="I354" t="str">
        <f>TRIM(C354)</f>
        <v>BTCUSD</v>
      </c>
      <c r="J354" t="e">
        <f>LEFT(#REF!,3)</f>
        <v>#REF!</v>
      </c>
    </row>
    <row r="355" spans="1:10" hidden="1" x14ac:dyDescent="0.25">
      <c r="A355" s="1">
        <v>44204</v>
      </c>
      <c r="B355" s="2" t="s">
        <v>8</v>
      </c>
      <c r="C355" s="2" t="s">
        <v>9</v>
      </c>
      <c r="D355">
        <v>38474.78</v>
      </c>
      <c r="E355">
        <v>41999.99</v>
      </c>
      <c r="F355">
        <v>37574.79</v>
      </c>
      <c r="G355">
        <v>40279.03</v>
      </c>
      <c r="H355">
        <v>5661.85</v>
      </c>
      <c r="I355" t="str">
        <f>TRIM(C355)</f>
        <v>BTCUSD</v>
      </c>
      <c r="J355" t="e">
        <f>LEFT(#REF!,3)</f>
        <v>#REF!</v>
      </c>
    </row>
    <row r="356" spans="1:10" hidden="1" x14ac:dyDescent="0.25">
      <c r="A356" s="1">
        <v>44363</v>
      </c>
      <c r="B356" s="2" t="s">
        <v>14</v>
      </c>
      <c r="C356" s="2" t="s">
        <v>9</v>
      </c>
      <c r="D356">
        <v>40043.69</v>
      </c>
      <c r="E356">
        <v>40490.019999999997</v>
      </c>
      <c r="F356">
        <v>38059.01</v>
      </c>
      <c r="G356">
        <v>38875</v>
      </c>
      <c r="H356">
        <v>2783.6</v>
      </c>
      <c r="I356" t="str">
        <f>TRIM(C356)</f>
        <v>BTCUSD</v>
      </c>
      <c r="J356" t="e">
        <f>LEFT(#REF!,3)</f>
        <v>#REF!</v>
      </c>
    </row>
    <row r="357" spans="1:10" hidden="1" x14ac:dyDescent="0.25">
      <c r="A357" s="1">
        <v>44235</v>
      </c>
      <c r="B357" s="2" t="s">
        <v>10</v>
      </c>
      <c r="C357" s="2" t="s">
        <v>9</v>
      </c>
      <c r="D357">
        <v>38107.339999999997</v>
      </c>
      <c r="E357">
        <v>47519.31</v>
      </c>
      <c r="F357">
        <v>38060.68</v>
      </c>
      <c r="G357">
        <v>46653.5</v>
      </c>
      <c r="H357">
        <v>5944.37</v>
      </c>
      <c r="I357" t="str">
        <f>TRIM(C357)</f>
        <v>BTCUSD</v>
      </c>
      <c r="J357" t="e">
        <f>LEFT(#REF!,3)</f>
        <v>#REF!</v>
      </c>
    </row>
    <row r="358" spans="1:10" hidden="1" x14ac:dyDescent="0.25">
      <c r="A358" s="1">
        <v>44336</v>
      </c>
      <c r="B358" s="2" t="s">
        <v>13</v>
      </c>
      <c r="C358" s="2" t="s">
        <v>9</v>
      </c>
      <c r="D358">
        <v>38411.14</v>
      </c>
      <c r="E358">
        <v>42625.43</v>
      </c>
      <c r="F358">
        <v>38200</v>
      </c>
      <c r="G358">
        <v>40773.519999999997</v>
      </c>
      <c r="H358">
        <v>4981.3900000000003</v>
      </c>
      <c r="I358" t="str">
        <f>TRIM(C358)</f>
        <v>BTCUSD</v>
      </c>
      <c r="J358" t="e">
        <f>LEFT(#REF!,3)</f>
        <v>#REF!</v>
      </c>
    </row>
    <row r="359" spans="1:10" hidden="1" x14ac:dyDescent="0.25">
      <c r="A359" s="1">
        <v>44407</v>
      </c>
      <c r="B359" s="2" t="s">
        <v>15</v>
      </c>
      <c r="C359" s="2" t="s">
        <v>9</v>
      </c>
      <c r="D359">
        <v>39982.79</v>
      </c>
      <c r="E359">
        <v>42400</v>
      </c>
      <c r="F359">
        <v>38350</v>
      </c>
      <c r="G359">
        <v>41840.36</v>
      </c>
      <c r="H359">
        <v>2600.84</v>
      </c>
      <c r="I359" t="str">
        <f>TRIM(C359)</f>
        <v>BTCUSD</v>
      </c>
      <c r="J359" t="e">
        <f>LEFT(#REF!,3)</f>
        <v>#REF!</v>
      </c>
    </row>
    <row r="360" spans="1:10" hidden="1" x14ac:dyDescent="0.25">
      <c r="A360" s="1">
        <v>44233</v>
      </c>
      <c r="B360" s="2" t="s">
        <v>10</v>
      </c>
      <c r="C360" s="2" t="s">
        <v>9</v>
      </c>
      <c r="D360">
        <v>39415.760000000002</v>
      </c>
      <c r="E360">
        <v>41000</v>
      </c>
      <c r="F360">
        <v>38368.69</v>
      </c>
      <c r="G360">
        <v>38897.949999999997</v>
      </c>
      <c r="H360">
        <v>2002.11</v>
      </c>
      <c r="I360" t="str">
        <f>TRIM(C360)</f>
        <v>BTCUSD</v>
      </c>
      <c r="J360" t="e">
        <f>LEFT(#REF!,3)</f>
        <v>#REF!</v>
      </c>
    </row>
    <row r="361" spans="1:10" hidden="1" x14ac:dyDescent="0.25">
      <c r="A361" s="1">
        <v>44410</v>
      </c>
      <c r="B361" s="2" t="s">
        <v>16</v>
      </c>
      <c r="C361" s="2" t="s">
        <v>9</v>
      </c>
      <c r="D361">
        <v>39811.54</v>
      </c>
      <c r="E361">
        <v>40446.58</v>
      </c>
      <c r="F361">
        <v>38515</v>
      </c>
      <c r="G361">
        <v>38650</v>
      </c>
      <c r="H361">
        <v>1815.1</v>
      </c>
      <c r="I361" t="str">
        <f>TRIM(C361)</f>
        <v>BTCUSD</v>
      </c>
      <c r="J361" t="e">
        <f>LEFT(#REF!,3)</f>
        <v>#REF!</v>
      </c>
    </row>
    <row r="362" spans="1:10" hidden="1" x14ac:dyDescent="0.25">
      <c r="A362" s="1">
        <v>44205</v>
      </c>
      <c r="B362" s="2" t="s">
        <v>8</v>
      </c>
      <c r="C362" s="2" t="s">
        <v>9</v>
      </c>
      <c r="D362">
        <v>40279.03</v>
      </c>
      <c r="E362">
        <v>41470.21</v>
      </c>
      <c r="F362">
        <v>38768.82</v>
      </c>
      <c r="G362">
        <v>40490.5</v>
      </c>
      <c r="H362">
        <v>2678.95</v>
      </c>
      <c r="I362" t="str">
        <f>TRIM(C362)</f>
        <v>BTCUSD</v>
      </c>
      <c r="J362" t="e">
        <f>LEFT(#REF!,3)</f>
        <v>#REF!</v>
      </c>
    </row>
    <row r="363" spans="1:10" hidden="1" x14ac:dyDescent="0.25">
      <c r="A363" s="1">
        <v>44405</v>
      </c>
      <c r="B363" s="2" t="s">
        <v>15</v>
      </c>
      <c r="C363" s="2" t="s">
        <v>9</v>
      </c>
      <c r="D363">
        <v>39848.44</v>
      </c>
      <c r="E363">
        <v>40928.46</v>
      </c>
      <c r="F363">
        <v>38803.47</v>
      </c>
      <c r="G363">
        <v>39638.769999999997</v>
      </c>
      <c r="H363">
        <v>3682.36</v>
      </c>
      <c r="I363" t="str">
        <f>TRIM(C363)</f>
        <v>BTCUSD</v>
      </c>
      <c r="J363" t="e">
        <f>LEFT(#REF!,3)</f>
        <v>#REF!</v>
      </c>
    </row>
    <row r="364" spans="1:10" hidden="1" x14ac:dyDescent="0.25">
      <c r="A364" s="1">
        <v>44361</v>
      </c>
      <c r="B364" s="2" t="s">
        <v>14</v>
      </c>
      <c r="C364" s="2" t="s">
        <v>9</v>
      </c>
      <c r="D364">
        <v>38988.5</v>
      </c>
      <c r="E364">
        <v>41060.769999999997</v>
      </c>
      <c r="F364">
        <v>38807.5</v>
      </c>
      <c r="G364">
        <v>40429.379999999997</v>
      </c>
      <c r="H364">
        <v>2719.45</v>
      </c>
      <c r="I364" t="str">
        <f>TRIM(C364)</f>
        <v>BTCUSD</v>
      </c>
      <c r="J364" t="e">
        <f>LEFT(#REF!,3)</f>
        <v>#REF!</v>
      </c>
    </row>
    <row r="365" spans="1:10" hidden="1" x14ac:dyDescent="0.25">
      <c r="A365" s="1">
        <v>44409</v>
      </c>
      <c r="B365" s="2" t="s">
        <v>16</v>
      </c>
      <c r="C365" s="2" t="s">
        <v>9</v>
      </c>
      <c r="D365">
        <v>42461.13</v>
      </c>
      <c r="E365">
        <v>42475.28</v>
      </c>
      <c r="F365">
        <v>39213.050000000003</v>
      </c>
      <c r="G365">
        <v>39811.54</v>
      </c>
      <c r="H365">
        <v>1237.92</v>
      </c>
      <c r="I365" t="str">
        <f>TRIM(C365)</f>
        <v>BTCUSD</v>
      </c>
      <c r="J365" t="e">
        <f>LEFT(#REF!,3)</f>
        <v>#REF!</v>
      </c>
    </row>
    <row r="366" spans="1:10" hidden="1" x14ac:dyDescent="0.25">
      <c r="A366" s="1">
        <v>44406</v>
      </c>
      <c r="B366" s="2" t="s">
        <v>15</v>
      </c>
      <c r="C366" s="2" t="s">
        <v>9</v>
      </c>
      <c r="D366">
        <v>39638.769999999997</v>
      </c>
      <c r="E366">
        <v>40639.14</v>
      </c>
      <c r="F366">
        <v>39409.4</v>
      </c>
      <c r="G366">
        <v>39982.79</v>
      </c>
      <c r="H366">
        <v>1561.72</v>
      </c>
      <c r="I366" t="str">
        <f>TRIM(C366)</f>
        <v>BTCUSD</v>
      </c>
      <c r="J366" t="e">
        <f>LEFT(#REF!,3)</f>
        <v>#REF!</v>
      </c>
    </row>
    <row r="367" spans="1:10" hidden="1" x14ac:dyDescent="0.25">
      <c r="A367" s="1">
        <v>44362</v>
      </c>
      <c r="B367" s="2" t="s">
        <v>14</v>
      </c>
      <c r="C367" s="2" t="s">
        <v>9</v>
      </c>
      <c r="D367">
        <v>40429.379999999997</v>
      </c>
      <c r="E367">
        <v>41380.019999999997</v>
      </c>
      <c r="F367">
        <v>39503.9</v>
      </c>
      <c r="G367">
        <v>40043.69</v>
      </c>
      <c r="H367">
        <v>2687.61</v>
      </c>
      <c r="I367" t="str">
        <f>TRIM(C367)</f>
        <v>BTCUSD</v>
      </c>
      <c r="J367" t="e">
        <f>LEFT(#REF!,3)</f>
        <v>#REF!</v>
      </c>
    </row>
    <row r="368" spans="1:10" hidden="1" x14ac:dyDescent="0.25">
      <c r="A368" s="1">
        <v>44460</v>
      </c>
      <c r="B368" s="2" t="s">
        <v>17</v>
      </c>
      <c r="C368" s="2" t="s">
        <v>9</v>
      </c>
      <c r="D368">
        <v>42688.03</v>
      </c>
      <c r="E368">
        <v>43655.53</v>
      </c>
      <c r="F368">
        <v>39590</v>
      </c>
      <c r="G368">
        <v>42089.88</v>
      </c>
      <c r="H368">
        <v>2962.61</v>
      </c>
      <c r="I368" t="str">
        <f>TRIM(C368)</f>
        <v>BTCUSD</v>
      </c>
      <c r="J368" t="e">
        <f>LEFT(#REF!,3)</f>
        <v>#REF!</v>
      </c>
    </row>
    <row r="369" spans="1:10" hidden="1" x14ac:dyDescent="0.25">
      <c r="A369" s="1">
        <v>44414</v>
      </c>
      <c r="B369" s="2" t="s">
        <v>16</v>
      </c>
      <c r="C369" s="2" t="s">
        <v>9</v>
      </c>
      <c r="D369">
        <v>40250.79</v>
      </c>
      <c r="E369">
        <v>43792.42</v>
      </c>
      <c r="F369">
        <v>39897.39</v>
      </c>
      <c r="G369">
        <v>43720</v>
      </c>
      <c r="H369">
        <v>2238.33</v>
      </c>
      <c r="I369" t="str">
        <f>TRIM(C369)</f>
        <v>BTCUSD</v>
      </c>
      <c r="J369" t="e">
        <f>LEFT(#REF!,3)</f>
        <v>#REF!</v>
      </c>
    </row>
    <row r="370" spans="1:10" hidden="1" x14ac:dyDescent="0.25">
      <c r="A370" s="1">
        <v>44334</v>
      </c>
      <c r="B370" s="2" t="s">
        <v>13</v>
      </c>
      <c r="C370" s="2" t="s">
        <v>9</v>
      </c>
      <c r="D370">
        <v>44824.75</v>
      </c>
      <c r="E370">
        <v>45860.17</v>
      </c>
      <c r="F370">
        <v>40118</v>
      </c>
      <c r="G370">
        <v>40570.980000000003</v>
      </c>
      <c r="H370">
        <v>4778.04</v>
      </c>
      <c r="I370" t="str">
        <f>TRIM(C370)</f>
        <v>BTCUSD</v>
      </c>
      <c r="J370" t="e">
        <f>LEFT(#REF!,3)</f>
        <v>#REF!</v>
      </c>
    </row>
    <row r="371" spans="1:10" hidden="1" x14ac:dyDescent="0.25">
      <c r="A371" s="1">
        <v>44459</v>
      </c>
      <c r="B371" s="2" t="s">
        <v>17</v>
      </c>
      <c r="C371" s="2" t="s">
        <v>9</v>
      </c>
      <c r="D371">
        <v>45553.62</v>
      </c>
      <c r="E371">
        <v>45837.9</v>
      </c>
      <c r="F371">
        <v>40137.980000000003</v>
      </c>
      <c r="G371">
        <v>42688.03</v>
      </c>
      <c r="H371">
        <v>4373.38</v>
      </c>
      <c r="I371" t="str">
        <f>TRIM(C371)</f>
        <v>BTCUSD</v>
      </c>
      <c r="J371" t="e">
        <f>LEFT(#REF!,3)</f>
        <v>#REF!</v>
      </c>
    </row>
    <row r="372" spans="1:10" hidden="1" x14ac:dyDescent="0.25">
      <c r="A372" s="1">
        <v>44463</v>
      </c>
      <c r="B372" s="2" t="s">
        <v>17</v>
      </c>
      <c r="C372" s="2" t="s">
        <v>9</v>
      </c>
      <c r="D372">
        <v>44301</v>
      </c>
      <c r="E372">
        <v>45157.81</v>
      </c>
      <c r="F372">
        <v>40696</v>
      </c>
      <c r="G372">
        <v>42650</v>
      </c>
      <c r="H372">
        <v>4398.2700000000004</v>
      </c>
      <c r="I372" t="str">
        <f>TRIM(C372)</f>
        <v>BTCUSD</v>
      </c>
      <c r="J372" t="e">
        <f>LEFT(#REF!,3)</f>
        <v>#REF!</v>
      </c>
    </row>
    <row r="373" spans="1:10" hidden="1" x14ac:dyDescent="0.25">
      <c r="A373" s="1">
        <v>44467</v>
      </c>
      <c r="B373" s="2" t="s">
        <v>17</v>
      </c>
      <c r="C373" s="2" t="s">
        <v>9</v>
      </c>
      <c r="D373">
        <v>42565.16</v>
      </c>
      <c r="E373">
        <v>42771.12</v>
      </c>
      <c r="F373">
        <v>40764.26</v>
      </c>
      <c r="G373">
        <v>42210.47</v>
      </c>
      <c r="H373">
        <v>2104.5</v>
      </c>
      <c r="I373" t="str">
        <f>TRIM(C373)</f>
        <v>BTCUSD</v>
      </c>
      <c r="J373" t="e">
        <f>LEFT(#REF!,3)</f>
        <v>#REF!</v>
      </c>
    </row>
    <row r="374" spans="1:10" hidden="1" x14ac:dyDescent="0.25">
      <c r="A374" s="1">
        <v>44465</v>
      </c>
      <c r="B374" s="2" t="s">
        <v>17</v>
      </c>
      <c r="C374" s="2" t="s">
        <v>9</v>
      </c>
      <c r="D374">
        <v>42239.94</v>
      </c>
      <c r="E374">
        <v>44350</v>
      </c>
      <c r="F374">
        <v>40801.19</v>
      </c>
      <c r="G374">
        <v>44024.27</v>
      </c>
      <c r="H374">
        <v>1395.68</v>
      </c>
      <c r="I374" t="str">
        <f>TRIM(C374)</f>
        <v>BTCUSD</v>
      </c>
      <c r="J374" t="e">
        <f>LEFT(#REF!,3)</f>
        <v>#REF!</v>
      </c>
    </row>
    <row r="375" spans="1:10" hidden="1" x14ac:dyDescent="0.25">
      <c r="A375" s="1">
        <v>44468</v>
      </c>
      <c r="B375" s="2" t="s">
        <v>17</v>
      </c>
      <c r="C375" s="2" t="s">
        <v>9</v>
      </c>
      <c r="D375">
        <v>42210.47</v>
      </c>
      <c r="E375">
        <v>43726.63</v>
      </c>
      <c r="F375">
        <v>40908.410000000003</v>
      </c>
      <c r="G375">
        <v>43601.2</v>
      </c>
      <c r="H375">
        <v>1511.58</v>
      </c>
      <c r="I375" t="str">
        <f>TRIM(C375)</f>
        <v>BTCUSD</v>
      </c>
      <c r="J375" t="e">
        <f>LEFT(#REF!,3)</f>
        <v>#REF!</v>
      </c>
    </row>
    <row r="376" spans="1:10" hidden="1" x14ac:dyDescent="0.25">
      <c r="A376" s="1">
        <v>44408</v>
      </c>
      <c r="B376" s="2" t="s">
        <v>15</v>
      </c>
      <c r="C376" s="2" t="s">
        <v>9</v>
      </c>
      <c r="D376">
        <v>41840.36</v>
      </c>
      <c r="E376">
        <v>42600</v>
      </c>
      <c r="F376">
        <v>41072.589999999997</v>
      </c>
      <c r="G376">
        <v>42461.13</v>
      </c>
      <c r="H376">
        <v>687.36</v>
      </c>
      <c r="I376" t="str">
        <f>TRIM(C376)</f>
        <v>BTCUSD</v>
      </c>
      <c r="J376" t="e">
        <f>LEFT(#REF!,3)</f>
        <v>#REF!</v>
      </c>
    </row>
    <row r="377" spans="1:10" hidden="1" x14ac:dyDescent="0.25">
      <c r="A377" s="1">
        <v>44464</v>
      </c>
      <c r="B377" s="2" t="s">
        <v>17</v>
      </c>
      <c r="C377" s="2" t="s">
        <v>9</v>
      </c>
      <c r="D377">
        <v>42650</v>
      </c>
      <c r="E377">
        <v>42985.06</v>
      </c>
      <c r="F377">
        <v>41677.82</v>
      </c>
      <c r="G377">
        <v>42239.94</v>
      </c>
      <c r="H377">
        <v>1058.07</v>
      </c>
      <c r="I377" t="str">
        <f>TRIM(C377)</f>
        <v>BTCUSD</v>
      </c>
      <c r="J377" t="e">
        <f>LEFT(#REF!,3)</f>
        <v>#REF!</v>
      </c>
    </row>
    <row r="378" spans="1:10" hidden="1" x14ac:dyDescent="0.25">
      <c r="A378" s="1">
        <v>44461</v>
      </c>
      <c r="B378" s="2" t="s">
        <v>17</v>
      </c>
      <c r="C378" s="2" t="s">
        <v>9</v>
      </c>
      <c r="D378">
        <v>42089.88</v>
      </c>
      <c r="E378">
        <v>44231.92</v>
      </c>
      <c r="F378">
        <v>41836.589999999997</v>
      </c>
      <c r="G378">
        <v>44094.55</v>
      </c>
      <c r="H378">
        <v>1238.6099999999999</v>
      </c>
      <c r="I378" t="str">
        <f>TRIM(C378)</f>
        <v>BTCUSD</v>
      </c>
      <c r="J378" t="e">
        <f>LEFT(#REF!,3)</f>
        <v>#REF!</v>
      </c>
    </row>
    <row r="379" spans="1:10" hidden="1" x14ac:dyDescent="0.25">
      <c r="A379" s="1">
        <v>44466</v>
      </c>
      <c r="B379" s="2" t="s">
        <v>17</v>
      </c>
      <c r="C379" s="2" t="s">
        <v>9</v>
      </c>
      <c r="D379">
        <v>44024.27</v>
      </c>
      <c r="E379">
        <v>44250.76</v>
      </c>
      <c r="F379">
        <v>41980.4</v>
      </c>
      <c r="G379">
        <v>42565.16</v>
      </c>
      <c r="H379">
        <v>1531.06</v>
      </c>
      <c r="I379" t="str">
        <f>TRIM(C379)</f>
        <v>BTCUSD</v>
      </c>
      <c r="J379" t="e">
        <f>LEFT(#REF!,3)</f>
        <v>#REF!</v>
      </c>
    </row>
    <row r="380" spans="1:10" hidden="1" x14ac:dyDescent="0.25">
      <c r="A380" s="1">
        <v>44534</v>
      </c>
      <c r="B380" s="2" t="s">
        <v>20</v>
      </c>
      <c r="C380" s="2" t="s">
        <v>9</v>
      </c>
      <c r="D380">
        <v>52055.9</v>
      </c>
      <c r="E380">
        <v>52644.42</v>
      </c>
      <c r="F380">
        <v>42074.62</v>
      </c>
      <c r="G380">
        <v>49249.56</v>
      </c>
      <c r="H380">
        <v>5486.89</v>
      </c>
      <c r="I380" t="str">
        <f>TRIM(C380)</f>
        <v>BTCUSD</v>
      </c>
      <c r="J380" t="e">
        <f>LEFT(#REF!,3)</f>
        <v>#REF!</v>
      </c>
    </row>
    <row r="381" spans="1:10" hidden="1" x14ac:dyDescent="0.25">
      <c r="A381" s="1">
        <v>44333</v>
      </c>
      <c r="B381" s="2" t="s">
        <v>13</v>
      </c>
      <c r="C381" s="2" t="s">
        <v>9</v>
      </c>
      <c r="D381">
        <v>42902.09</v>
      </c>
      <c r="E381">
        <v>45833.48</v>
      </c>
      <c r="F381">
        <v>42080</v>
      </c>
      <c r="G381">
        <v>44824.75</v>
      </c>
      <c r="H381">
        <v>5764.37</v>
      </c>
      <c r="I381" t="str">
        <f>TRIM(C381)</f>
        <v>BTCUSD</v>
      </c>
      <c r="J381" t="e">
        <f>LEFT(#REF!,3)</f>
        <v>#REF!</v>
      </c>
    </row>
    <row r="382" spans="1:10" hidden="1" x14ac:dyDescent="0.25">
      <c r="A382" s="1">
        <v>44415</v>
      </c>
      <c r="B382" s="2" t="s">
        <v>16</v>
      </c>
      <c r="C382" s="2" t="s">
        <v>9</v>
      </c>
      <c r="D382">
        <v>43720</v>
      </c>
      <c r="E382">
        <v>44837.59</v>
      </c>
      <c r="F382">
        <v>42460</v>
      </c>
      <c r="G382">
        <v>44391.34</v>
      </c>
      <c r="H382">
        <v>3336.16</v>
      </c>
      <c r="I382" t="str">
        <f>TRIM(C382)</f>
        <v>BTCUSD</v>
      </c>
      <c r="J382" t="e">
        <f>LEFT(#REF!,3)</f>
        <v>#REF!</v>
      </c>
    </row>
    <row r="383" spans="1:10" hidden="1" x14ac:dyDescent="0.25">
      <c r="A383" s="1">
        <v>44446</v>
      </c>
      <c r="B383" s="2" t="s">
        <v>17</v>
      </c>
      <c r="C383" s="2" t="s">
        <v>9</v>
      </c>
      <c r="D383">
        <v>52663.45</v>
      </c>
      <c r="E383">
        <v>52744.480000000003</v>
      </c>
      <c r="F383">
        <v>42600</v>
      </c>
      <c r="G383">
        <v>46490.38</v>
      </c>
      <c r="H383">
        <v>4513.57</v>
      </c>
      <c r="I383" t="str">
        <f>TRIM(C383)</f>
        <v>BTCUSD</v>
      </c>
      <c r="J383" t="e">
        <f>LEFT(#REF!,3)</f>
        <v>#REF!</v>
      </c>
    </row>
    <row r="384" spans="1:10" hidden="1" x14ac:dyDescent="0.25">
      <c r="A384" s="1">
        <v>44469</v>
      </c>
      <c r="B384" s="2" t="s">
        <v>17</v>
      </c>
      <c r="C384" s="2" t="s">
        <v>9</v>
      </c>
      <c r="D384">
        <v>43601.2</v>
      </c>
      <c r="E384">
        <v>44097.7</v>
      </c>
      <c r="F384">
        <v>42702.71</v>
      </c>
      <c r="G384">
        <v>43628.160000000003</v>
      </c>
      <c r="H384">
        <v>1891.52</v>
      </c>
      <c r="I384" t="str">
        <f>TRIM(C384)</f>
        <v>BTCUSD</v>
      </c>
      <c r="J384" t="e">
        <f>LEFT(#REF!,3)</f>
        <v>#REF!</v>
      </c>
    </row>
    <row r="385" spans="1:10" hidden="1" x14ac:dyDescent="0.25">
      <c r="A385" s="1">
        <v>44332</v>
      </c>
      <c r="B385" s="2" t="s">
        <v>13</v>
      </c>
      <c r="C385" s="2" t="s">
        <v>9</v>
      </c>
      <c r="D385">
        <v>48383.6</v>
      </c>
      <c r="E385">
        <v>49790</v>
      </c>
      <c r="F385">
        <v>42793</v>
      </c>
      <c r="G385">
        <v>42902.09</v>
      </c>
      <c r="H385">
        <v>3937.04</v>
      </c>
      <c r="I385" t="str">
        <f>TRIM(C385)</f>
        <v>BTCUSD</v>
      </c>
      <c r="J385" t="e">
        <f>LEFT(#REF!,3)</f>
        <v>#REF!</v>
      </c>
    </row>
    <row r="386" spans="1:10" hidden="1" x14ac:dyDescent="0.25">
      <c r="A386" s="1">
        <v>44416</v>
      </c>
      <c r="B386" s="2" t="s">
        <v>16</v>
      </c>
      <c r="C386" s="2" t="s">
        <v>9</v>
      </c>
      <c r="D386">
        <v>44391.34</v>
      </c>
      <c r="E386">
        <v>45386.81</v>
      </c>
      <c r="F386">
        <v>42813.74</v>
      </c>
      <c r="G386">
        <v>43529.34</v>
      </c>
      <c r="H386">
        <v>2023.49</v>
      </c>
      <c r="I386" t="str">
        <f>TRIM(C386)</f>
        <v>BTCUSD</v>
      </c>
      <c r="J386" t="e">
        <f>LEFT(#REF!,3)</f>
        <v>#REF!</v>
      </c>
    </row>
    <row r="387" spans="1:10" hidden="1" x14ac:dyDescent="0.25">
      <c r="A387" s="1">
        <v>44255</v>
      </c>
      <c r="B387" s="2" t="s">
        <v>10</v>
      </c>
      <c r="C387" s="2" t="s">
        <v>9</v>
      </c>
      <c r="D387">
        <v>44673.36</v>
      </c>
      <c r="E387">
        <v>46920</v>
      </c>
      <c r="F387">
        <v>43033.66</v>
      </c>
      <c r="G387">
        <v>46408.05</v>
      </c>
      <c r="H387">
        <v>2188.54</v>
      </c>
      <c r="I387" t="str">
        <f>TRIM(C387)</f>
        <v>BTCUSD</v>
      </c>
      <c r="J387" t="e">
        <f>LEFT(#REF!,3)</f>
        <v>#REF!</v>
      </c>
    </row>
    <row r="388" spans="1:10" hidden="1" x14ac:dyDescent="0.25">
      <c r="A388" s="1">
        <v>44417</v>
      </c>
      <c r="B388" s="2" t="s">
        <v>16</v>
      </c>
      <c r="C388" s="2" t="s">
        <v>9</v>
      </c>
      <c r="D388">
        <v>43529.34</v>
      </c>
      <c r="E388">
        <v>46729.86</v>
      </c>
      <c r="F388">
        <v>43295.22</v>
      </c>
      <c r="G388">
        <v>45727.39</v>
      </c>
      <c r="H388">
        <v>3092.3</v>
      </c>
      <c r="I388" t="str">
        <f>TRIM(C388)</f>
        <v>BTCUSD</v>
      </c>
      <c r="J388" t="e">
        <f>LEFT(#REF!,3)</f>
        <v>#REF!</v>
      </c>
    </row>
    <row r="389" spans="1:10" hidden="1" x14ac:dyDescent="0.25">
      <c r="A389" s="1">
        <v>44462</v>
      </c>
      <c r="B389" s="2" t="s">
        <v>17</v>
      </c>
      <c r="C389" s="2" t="s">
        <v>9</v>
      </c>
      <c r="D389">
        <v>44094.55</v>
      </c>
      <c r="E389">
        <v>45062.97</v>
      </c>
      <c r="F389">
        <v>43389.94</v>
      </c>
      <c r="G389">
        <v>44301</v>
      </c>
      <c r="H389">
        <v>1699.82</v>
      </c>
      <c r="I389" t="str">
        <f>TRIM(C389)</f>
        <v>BTCUSD</v>
      </c>
      <c r="J389" t="e">
        <f>LEFT(#REF!,3)</f>
        <v>#REF!</v>
      </c>
    </row>
    <row r="390" spans="1:10" hidden="1" x14ac:dyDescent="0.25">
      <c r="A390" s="1">
        <v>44452</v>
      </c>
      <c r="B390" s="2" t="s">
        <v>17</v>
      </c>
      <c r="C390" s="2" t="s">
        <v>9</v>
      </c>
      <c r="D390">
        <v>44619.12</v>
      </c>
      <c r="E390">
        <v>46897</v>
      </c>
      <c r="F390">
        <v>43400</v>
      </c>
      <c r="G390">
        <v>45206.43</v>
      </c>
      <c r="H390">
        <v>2422.25</v>
      </c>
      <c r="I390" t="str">
        <f>TRIM(C390)</f>
        <v>BTCUSD</v>
      </c>
      <c r="J390" t="e">
        <f>LEFT(#REF!,3)</f>
        <v>#REF!</v>
      </c>
    </row>
    <row r="391" spans="1:10" hidden="1" x14ac:dyDescent="0.25">
      <c r="A391" s="1">
        <v>44470</v>
      </c>
      <c r="B391" s="2" t="s">
        <v>18</v>
      </c>
      <c r="C391" s="2" t="s">
        <v>9</v>
      </c>
      <c r="D391">
        <v>43628.160000000003</v>
      </c>
      <c r="E391">
        <v>48495.68</v>
      </c>
      <c r="F391">
        <v>43472.59</v>
      </c>
      <c r="G391">
        <v>47555.51</v>
      </c>
      <c r="H391">
        <v>3254.02</v>
      </c>
      <c r="I391" t="str">
        <f>TRIM(C391)</f>
        <v>BTCUSD</v>
      </c>
      <c r="J391" t="e">
        <f>LEFT(#REF!,3)</f>
        <v>#REF!</v>
      </c>
    </row>
    <row r="392" spans="1:10" hidden="1" x14ac:dyDescent="0.25">
      <c r="A392" s="1">
        <v>44237</v>
      </c>
      <c r="B392" s="2" t="s">
        <v>10</v>
      </c>
      <c r="C392" s="2" t="s">
        <v>9</v>
      </c>
      <c r="D392">
        <v>46309.88</v>
      </c>
      <c r="E392">
        <v>47367.17</v>
      </c>
      <c r="F392">
        <v>43762.99</v>
      </c>
      <c r="G392">
        <v>45513.94</v>
      </c>
      <c r="H392">
        <v>2479.69</v>
      </c>
      <c r="I392" t="str">
        <f>TRIM(C392)</f>
        <v>BTCUSD</v>
      </c>
      <c r="J392" t="e">
        <f>LEFT(#REF!,3)</f>
        <v>#REF!</v>
      </c>
    </row>
    <row r="393" spans="1:10" hidden="1" x14ac:dyDescent="0.25">
      <c r="A393" s="1">
        <v>44420</v>
      </c>
      <c r="B393" s="2" t="s">
        <v>16</v>
      </c>
      <c r="C393" s="2" t="s">
        <v>9</v>
      </c>
      <c r="D393">
        <v>45948.06</v>
      </c>
      <c r="E393">
        <v>46023.08</v>
      </c>
      <c r="F393">
        <v>43800</v>
      </c>
      <c r="G393">
        <v>45205.46</v>
      </c>
      <c r="H393">
        <v>1840.77</v>
      </c>
      <c r="I393" t="str">
        <f>TRIM(C393)</f>
        <v>BTCUSD</v>
      </c>
      <c r="J393" t="e">
        <f>LEFT(#REF!,3)</f>
        <v>#REF!</v>
      </c>
    </row>
    <row r="394" spans="1:10" hidden="1" x14ac:dyDescent="0.25">
      <c r="A394" s="1">
        <v>44427</v>
      </c>
      <c r="B394" s="2" t="s">
        <v>16</v>
      </c>
      <c r="C394" s="2" t="s">
        <v>9</v>
      </c>
      <c r="D394">
        <v>44074.77</v>
      </c>
      <c r="E394">
        <v>47424.13</v>
      </c>
      <c r="F394">
        <v>43902.53</v>
      </c>
      <c r="G394">
        <v>47042.28</v>
      </c>
      <c r="H394">
        <v>1566</v>
      </c>
      <c r="I394" t="str">
        <f>TRIM(C394)</f>
        <v>BTCUSD</v>
      </c>
      <c r="J394" t="e">
        <f>LEFT(#REF!,3)</f>
        <v>#REF!</v>
      </c>
    </row>
    <row r="395" spans="1:10" hidden="1" x14ac:dyDescent="0.25">
      <c r="A395" s="1">
        <v>44426</v>
      </c>
      <c r="B395" s="2" t="s">
        <v>16</v>
      </c>
      <c r="C395" s="2" t="s">
        <v>9</v>
      </c>
      <c r="D395">
        <v>45078.79</v>
      </c>
      <c r="E395">
        <v>46031</v>
      </c>
      <c r="F395">
        <v>44055</v>
      </c>
      <c r="G395">
        <v>44074.77</v>
      </c>
      <c r="H395">
        <v>1324.73</v>
      </c>
      <c r="I395" t="str">
        <f>TRIM(C395)</f>
        <v>BTCUSD</v>
      </c>
      <c r="J395" t="e">
        <f>LEFT(#REF!,3)</f>
        <v>#REF!</v>
      </c>
    </row>
    <row r="396" spans="1:10" hidden="1" x14ac:dyDescent="0.25">
      <c r="A396" s="1">
        <v>44253</v>
      </c>
      <c r="B396" s="2" t="s">
        <v>10</v>
      </c>
      <c r="C396" s="2" t="s">
        <v>9</v>
      </c>
      <c r="D396">
        <v>47360.43</v>
      </c>
      <c r="E396">
        <v>48472.08</v>
      </c>
      <c r="F396">
        <v>44121.24</v>
      </c>
      <c r="G396">
        <v>47440</v>
      </c>
      <c r="H396">
        <v>3297.57</v>
      </c>
      <c r="I396" t="str">
        <f>TRIM(C396)</f>
        <v>BTCUSD</v>
      </c>
      <c r="J396" t="e">
        <f>LEFT(#REF!,3)</f>
        <v>#REF!</v>
      </c>
    </row>
    <row r="397" spans="1:10" hidden="1" x14ac:dyDescent="0.25">
      <c r="A397" s="1">
        <v>44449</v>
      </c>
      <c r="B397" s="2" t="s">
        <v>17</v>
      </c>
      <c r="C397" s="2" t="s">
        <v>9</v>
      </c>
      <c r="D397">
        <v>46743.4</v>
      </c>
      <c r="E397">
        <v>46812.87</v>
      </c>
      <c r="F397">
        <v>44156.88</v>
      </c>
      <c r="G397">
        <v>45181.52</v>
      </c>
      <c r="H397">
        <v>1783.43</v>
      </c>
      <c r="I397" t="str">
        <f>TRIM(C397)</f>
        <v>BTCUSD</v>
      </c>
      <c r="J397" t="e">
        <f>LEFT(#REF!,3)</f>
        <v>#REF!</v>
      </c>
    </row>
    <row r="398" spans="1:10" hidden="1" x14ac:dyDescent="0.25">
      <c r="A398" s="1">
        <v>44425</v>
      </c>
      <c r="B398" s="2" t="s">
        <v>16</v>
      </c>
      <c r="C398" s="2" t="s">
        <v>9</v>
      </c>
      <c r="D398">
        <v>46435.44</v>
      </c>
      <c r="E398">
        <v>47162.94</v>
      </c>
      <c r="F398">
        <v>44211.13</v>
      </c>
      <c r="G398">
        <v>45078.79</v>
      </c>
      <c r="H398">
        <v>2149.38</v>
      </c>
      <c r="I398" t="str">
        <f>TRIM(C398)</f>
        <v>BTCUSD</v>
      </c>
      <c r="J398" t="e">
        <f>LEFT(#REF!,3)</f>
        <v>#REF!</v>
      </c>
    </row>
    <row r="399" spans="1:10" hidden="1" x14ac:dyDescent="0.25">
      <c r="A399" s="1">
        <v>44250</v>
      </c>
      <c r="B399" s="2" t="s">
        <v>10</v>
      </c>
      <c r="C399" s="2" t="s">
        <v>9</v>
      </c>
      <c r="D399">
        <v>51847.25</v>
      </c>
      <c r="E399">
        <v>52294.87</v>
      </c>
      <c r="F399">
        <v>44248</v>
      </c>
      <c r="G399">
        <v>50965.74</v>
      </c>
      <c r="H399">
        <v>6641.9</v>
      </c>
      <c r="I399" t="str">
        <f>TRIM(C399)</f>
        <v>BTCUSD</v>
      </c>
      <c r="J399" t="e">
        <f>LEFT(#REF!,3)</f>
        <v>#REF!</v>
      </c>
    </row>
    <row r="400" spans="1:10" hidden="1" x14ac:dyDescent="0.25">
      <c r="A400" s="1">
        <v>44447</v>
      </c>
      <c r="B400" s="2" t="s">
        <v>17</v>
      </c>
      <c r="C400" s="2" t="s">
        <v>9</v>
      </c>
      <c r="D400">
        <v>46490.38</v>
      </c>
      <c r="E400">
        <v>46885.38</v>
      </c>
      <c r="F400">
        <v>44419.5</v>
      </c>
      <c r="G400">
        <v>46005.27</v>
      </c>
      <c r="H400">
        <v>2277.31</v>
      </c>
      <c r="I400" t="str">
        <f>TRIM(C400)</f>
        <v>BTCUSD</v>
      </c>
      <c r="J400" t="e">
        <f>LEFT(#REF!,3)</f>
        <v>#REF!</v>
      </c>
    </row>
    <row r="401" spans="1:10" hidden="1" x14ac:dyDescent="0.25">
      <c r="A401" s="1">
        <v>44238</v>
      </c>
      <c r="B401" s="2" t="s">
        <v>10</v>
      </c>
      <c r="C401" s="2" t="s">
        <v>9</v>
      </c>
      <c r="D401">
        <v>45513.94</v>
      </c>
      <c r="E401">
        <v>48975</v>
      </c>
      <c r="F401">
        <v>44457.55</v>
      </c>
      <c r="G401">
        <v>47624.29</v>
      </c>
      <c r="H401">
        <v>2589</v>
      </c>
      <c r="I401" t="str">
        <f>TRIM(C401)</f>
        <v>BTCUSD</v>
      </c>
      <c r="J401" t="e">
        <f>LEFT(#REF!,3)</f>
        <v>#REF!</v>
      </c>
    </row>
    <row r="402" spans="1:10" hidden="1" x14ac:dyDescent="0.25">
      <c r="A402" s="1">
        <v>44254</v>
      </c>
      <c r="B402" s="2" t="s">
        <v>10</v>
      </c>
      <c r="C402" s="2" t="s">
        <v>9</v>
      </c>
      <c r="D402">
        <v>47440</v>
      </c>
      <c r="E402">
        <v>48380.14</v>
      </c>
      <c r="F402">
        <v>44510</v>
      </c>
      <c r="G402">
        <v>44673.36</v>
      </c>
      <c r="H402">
        <v>1191.06</v>
      </c>
      <c r="I402" t="str">
        <f>TRIM(C402)</f>
        <v>BTCUSD</v>
      </c>
      <c r="J402" t="e">
        <f>LEFT(#REF!,3)</f>
        <v>#REF!</v>
      </c>
    </row>
    <row r="403" spans="1:10" hidden="1" x14ac:dyDescent="0.25">
      <c r="A403" s="1">
        <v>44451</v>
      </c>
      <c r="B403" s="2" t="s">
        <v>17</v>
      </c>
      <c r="C403" s="2" t="s">
        <v>9</v>
      </c>
      <c r="D403">
        <v>45311.46</v>
      </c>
      <c r="E403">
        <v>46504.62</v>
      </c>
      <c r="F403">
        <v>44535.26</v>
      </c>
      <c r="G403">
        <v>44619.12</v>
      </c>
      <c r="H403">
        <v>893.38</v>
      </c>
      <c r="I403" t="str">
        <f>TRIM(C403)</f>
        <v>BTCUSD</v>
      </c>
      <c r="J403" t="e">
        <f>LEFT(#REF!,3)</f>
        <v>#REF!</v>
      </c>
    </row>
    <row r="404" spans="1:10" hidden="1" x14ac:dyDescent="0.25">
      <c r="A404" s="1">
        <v>44418</v>
      </c>
      <c r="B404" s="2" t="s">
        <v>16</v>
      </c>
      <c r="C404" s="2" t="s">
        <v>9</v>
      </c>
      <c r="D404">
        <v>45727.39</v>
      </c>
      <c r="E404">
        <v>46183.47</v>
      </c>
      <c r="F404">
        <v>44642.21</v>
      </c>
      <c r="G404">
        <v>45594.16</v>
      </c>
      <c r="H404">
        <v>1768.99</v>
      </c>
      <c r="I404" t="str">
        <f>TRIM(C404)</f>
        <v>BTCUSD</v>
      </c>
      <c r="J404" t="e">
        <f>LEFT(#REF!,3)</f>
        <v>#REF!</v>
      </c>
    </row>
    <row r="405" spans="1:10" hidden="1" x14ac:dyDescent="0.25">
      <c r="A405" s="1">
        <v>44450</v>
      </c>
      <c r="B405" s="2" t="s">
        <v>17</v>
      </c>
      <c r="C405" s="2" t="s">
        <v>9</v>
      </c>
      <c r="D405">
        <v>45181.52</v>
      </c>
      <c r="E405">
        <v>46001.33</v>
      </c>
      <c r="F405">
        <v>44758.59</v>
      </c>
      <c r="G405">
        <v>45311.46</v>
      </c>
      <c r="H405">
        <v>685.32</v>
      </c>
      <c r="I405" t="str">
        <f>TRIM(C405)</f>
        <v>BTCUSD</v>
      </c>
      <c r="J405" t="e">
        <f>LEFT(#REF!,3)</f>
        <v>#REF!</v>
      </c>
    </row>
    <row r="406" spans="1:10" hidden="1" x14ac:dyDescent="0.25">
      <c r="A406" s="1">
        <v>44421</v>
      </c>
      <c r="B406" s="2" t="s">
        <v>16</v>
      </c>
      <c r="C406" s="2" t="s">
        <v>9</v>
      </c>
      <c r="D406">
        <v>45205.46</v>
      </c>
      <c r="E406">
        <v>47900</v>
      </c>
      <c r="F406">
        <v>44952.59</v>
      </c>
      <c r="G406">
        <v>47571.64</v>
      </c>
      <c r="H406">
        <v>1609.57</v>
      </c>
      <c r="I406" t="str">
        <f>TRIM(C406)</f>
        <v>BTCUSD</v>
      </c>
      <c r="J406" t="e">
        <f>LEFT(#REF!,3)</f>
        <v>#REF!</v>
      </c>
    </row>
    <row r="407" spans="1:10" hidden="1" x14ac:dyDescent="0.25">
      <c r="A407" s="1">
        <v>44328</v>
      </c>
      <c r="B407" s="2" t="s">
        <v>13</v>
      </c>
      <c r="C407" s="2" t="s">
        <v>9</v>
      </c>
      <c r="D407">
        <v>57820</v>
      </c>
      <c r="E407">
        <v>57998.26</v>
      </c>
      <c r="F407">
        <v>45000</v>
      </c>
      <c r="G407">
        <v>50493.11</v>
      </c>
      <c r="H407">
        <v>6438.29</v>
      </c>
      <c r="I407" t="str">
        <f>TRIM(C407)</f>
        <v>BTCUSD</v>
      </c>
      <c r="J407" t="e">
        <f>LEFT(#REF!,3)</f>
        <v>#REF!</v>
      </c>
    </row>
    <row r="408" spans="1:10" hidden="1" x14ac:dyDescent="0.25">
      <c r="A408" s="1">
        <v>44236</v>
      </c>
      <c r="B408" s="2" t="s">
        <v>10</v>
      </c>
      <c r="C408" s="2" t="s">
        <v>9</v>
      </c>
      <c r="D408">
        <v>46653.5</v>
      </c>
      <c r="E408">
        <v>48201.23</v>
      </c>
      <c r="F408">
        <v>45037.8</v>
      </c>
      <c r="G408">
        <v>46309.88</v>
      </c>
      <c r="H408">
        <v>2992.16</v>
      </c>
      <c r="I408" t="str">
        <f>TRIM(C408)</f>
        <v>BTCUSD</v>
      </c>
      <c r="J408" t="e">
        <f>LEFT(#REF!,3)</f>
        <v>#REF!</v>
      </c>
    </row>
    <row r="409" spans="1:10" hidden="1" x14ac:dyDescent="0.25">
      <c r="A409" s="1">
        <v>44453</v>
      </c>
      <c r="B409" s="2" t="s">
        <v>17</v>
      </c>
      <c r="C409" s="2" t="s">
        <v>9</v>
      </c>
      <c r="D409">
        <v>45206.43</v>
      </c>
      <c r="E409">
        <v>47498.54</v>
      </c>
      <c r="F409">
        <v>45067.51</v>
      </c>
      <c r="G409">
        <v>47101.27</v>
      </c>
      <c r="H409">
        <v>1516.06</v>
      </c>
      <c r="I409" t="str">
        <f>TRIM(C409)</f>
        <v>BTCUSD</v>
      </c>
      <c r="J409" t="e">
        <f>LEFT(#REF!,3)</f>
        <v>#REF!</v>
      </c>
    </row>
    <row r="410" spans="1:10" hidden="1" x14ac:dyDescent="0.25">
      <c r="A410" s="1">
        <v>44458</v>
      </c>
      <c r="B410" s="2" t="s">
        <v>17</v>
      </c>
      <c r="C410" s="2" t="s">
        <v>9</v>
      </c>
      <c r="D410">
        <v>47854.23</v>
      </c>
      <c r="E410">
        <v>48333.32</v>
      </c>
      <c r="F410">
        <v>45175.199999999997</v>
      </c>
      <c r="G410">
        <v>45553.62</v>
      </c>
      <c r="H410">
        <v>860.71</v>
      </c>
      <c r="I410" t="str">
        <f>TRIM(C410)</f>
        <v>BTCUSD</v>
      </c>
      <c r="J410" t="e">
        <f>LEFT(#REF!,3)</f>
        <v>#REF!</v>
      </c>
    </row>
    <row r="411" spans="1:10" hidden="1" x14ac:dyDescent="0.25">
      <c r="A411" s="1">
        <v>44424</v>
      </c>
      <c r="B411" s="2" t="s">
        <v>16</v>
      </c>
      <c r="C411" s="2" t="s">
        <v>9</v>
      </c>
      <c r="D411">
        <v>47400.89</v>
      </c>
      <c r="E411">
        <v>47744.5</v>
      </c>
      <c r="F411">
        <v>45250.51</v>
      </c>
      <c r="G411">
        <v>46435.44</v>
      </c>
      <c r="H411">
        <v>1687.08</v>
      </c>
      <c r="I411" t="str">
        <f>TRIM(C411)</f>
        <v>BTCUSD</v>
      </c>
      <c r="J411" t="e">
        <f>LEFT(#REF!,3)</f>
        <v>#REF!</v>
      </c>
    </row>
    <row r="412" spans="1:10" hidden="1" x14ac:dyDescent="0.25">
      <c r="A412" s="1">
        <v>44419</v>
      </c>
      <c r="B412" s="2" t="s">
        <v>16</v>
      </c>
      <c r="C412" s="2" t="s">
        <v>9</v>
      </c>
      <c r="D412">
        <v>45594.16</v>
      </c>
      <c r="E412">
        <v>46775</v>
      </c>
      <c r="F412">
        <v>45426.58</v>
      </c>
      <c r="G412">
        <v>45948.06</v>
      </c>
      <c r="H412">
        <v>1565.84</v>
      </c>
      <c r="I412" t="str">
        <f>TRIM(C412)</f>
        <v>BTCUSD</v>
      </c>
      <c r="J412" t="e">
        <f>LEFT(#REF!,3)</f>
        <v>#REF!</v>
      </c>
    </row>
    <row r="413" spans="1:10" hidden="1" x14ac:dyDescent="0.25">
      <c r="A413" s="1">
        <v>44547</v>
      </c>
      <c r="B413" s="2" t="s">
        <v>20</v>
      </c>
      <c r="C413" s="2" t="s">
        <v>9</v>
      </c>
      <c r="D413">
        <v>47779.8</v>
      </c>
      <c r="E413">
        <v>48194.13</v>
      </c>
      <c r="F413">
        <v>45463.96</v>
      </c>
      <c r="G413">
        <v>46312.19</v>
      </c>
      <c r="H413">
        <v>1294.0999999999999</v>
      </c>
      <c r="I413" t="str">
        <f>TRIM(C413)</f>
        <v>BTCUSD</v>
      </c>
      <c r="J413" t="e">
        <f>LEFT(#REF!,3)</f>
        <v>#REF!</v>
      </c>
    </row>
    <row r="414" spans="1:10" hidden="1" x14ac:dyDescent="0.25">
      <c r="A414" s="1">
        <v>44423</v>
      </c>
      <c r="B414" s="2" t="s">
        <v>16</v>
      </c>
      <c r="C414" s="2" t="s">
        <v>9</v>
      </c>
      <c r="D414">
        <v>46910.99</v>
      </c>
      <c r="E414">
        <v>48044.25</v>
      </c>
      <c r="F414">
        <v>45509.51</v>
      </c>
      <c r="G414">
        <v>47400.89</v>
      </c>
      <c r="H414">
        <v>1360.76</v>
      </c>
      <c r="I414" t="str">
        <f>TRIM(C414)</f>
        <v>BTCUSD</v>
      </c>
      <c r="J414" t="e">
        <f>LEFT(#REF!,3)</f>
        <v>#REF!</v>
      </c>
    </row>
    <row r="415" spans="1:10" hidden="1" x14ac:dyDescent="0.25">
      <c r="A415" s="1">
        <v>44550</v>
      </c>
      <c r="B415" s="2" t="s">
        <v>20</v>
      </c>
      <c r="C415" s="2" t="s">
        <v>9</v>
      </c>
      <c r="D415">
        <v>46709.08</v>
      </c>
      <c r="E415">
        <v>48082.61</v>
      </c>
      <c r="F415">
        <v>45579.18</v>
      </c>
      <c r="G415">
        <v>47954.559999999998</v>
      </c>
      <c r="H415">
        <v>954.7</v>
      </c>
      <c r="I415" t="str">
        <f>TRIM(C415)</f>
        <v>BTCUSD</v>
      </c>
      <c r="J415" t="e">
        <f>LEFT(#REF!,3)</f>
        <v>#REF!</v>
      </c>
    </row>
    <row r="416" spans="1:10" hidden="1" x14ac:dyDescent="0.25">
      <c r="A416" s="1">
        <v>44543</v>
      </c>
      <c r="B416" s="2" t="s">
        <v>20</v>
      </c>
      <c r="C416" s="2" t="s">
        <v>9</v>
      </c>
      <c r="D416">
        <v>48899.75</v>
      </c>
      <c r="E416">
        <v>49348.69</v>
      </c>
      <c r="F416">
        <v>45618.84</v>
      </c>
      <c r="G416">
        <v>46968.47</v>
      </c>
      <c r="H416">
        <v>1749.04</v>
      </c>
      <c r="I416" t="str">
        <f>TRIM(C416)</f>
        <v>BTCUSD</v>
      </c>
      <c r="J416" t="e">
        <f>LEFT(#REF!,3)</f>
        <v>#REF!</v>
      </c>
    </row>
    <row r="417" spans="1:10" hidden="1" x14ac:dyDescent="0.25">
      <c r="A417" s="1">
        <v>44561</v>
      </c>
      <c r="B417" s="2" t="s">
        <v>20</v>
      </c>
      <c r="C417" s="2" t="s">
        <v>9</v>
      </c>
      <c r="D417">
        <v>47207.99</v>
      </c>
      <c r="E417">
        <v>48578.35</v>
      </c>
      <c r="F417">
        <v>45641.11</v>
      </c>
      <c r="G417">
        <v>46806.83</v>
      </c>
      <c r="H417">
        <v>1591.71</v>
      </c>
      <c r="I417" t="str">
        <f>TRIM(C417)</f>
        <v>BTCUSD</v>
      </c>
      <c r="J417" t="e">
        <f>LEFT(#REF!,3)</f>
        <v>#REF!</v>
      </c>
    </row>
    <row r="418" spans="1:10" hidden="1" x14ac:dyDescent="0.25">
      <c r="A418" s="1">
        <v>44448</v>
      </c>
      <c r="B418" s="2" t="s">
        <v>17</v>
      </c>
      <c r="C418" s="2" t="s">
        <v>9</v>
      </c>
      <c r="D418">
        <v>46005.27</v>
      </c>
      <c r="E418">
        <v>47396.38</v>
      </c>
      <c r="F418">
        <v>45651.86</v>
      </c>
      <c r="G418">
        <v>46743.4</v>
      </c>
      <c r="H418">
        <v>1563.22</v>
      </c>
      <c r="I418" t="str">
        <f>TRIM(C418)</f>
        <v>BTCUSD</v>
      </c>
      <c r="J418" t="e">
        <f>LEFT(#REF!,3)</f>
        <v>#REF!</v>
      </c>
    </row>
    <row r="419" spans="1:10" hidden="1" x14ac:dyDescent="0.25">
      <c r="A419" s="1">
        <v>44256</v>
      </c>
      <c r="B419" s="2" t="s">
        <v>11</v>
      </c>
      <c r="C419" s="2" t="s">
        <v>9</v>
      </c>
      <c r="D419">
        <v>46408.05</v>
      </c>
      <c r="E419"/>
      <c r="F419">
        <v>45700.01</v>
      </c>
      <c r="G419">
        <v>49023.76</v>
      </c>
      <c r="H419">
        <v>3079.22</v>
      </c>
      <c r="I419" t="str">
        <f>TRIM(C419)</f>
        <v>BTCUSD</v>
      </c>
      <c r="J419" t="e">
        <f>LEFT(#REF!,3)</f>
        <v>#REF!</v>
      </c>
    </row>
    <row r="420" spans="1:10" hidden="1" x14ac:dyDescent="0.25">
      <c r="A420" s="1">
        <v>44241</v>
      </c>
      <c r="B420" s="2" t="s">
        <v>10</v>
      </c>
      <c r="C420" s="2" t="s">
        <v>9</v>
      </c>
      <c r="D420">
        <v>47381.8</v>
      </c>
      <c r="E420">
        <v>49700</v>
      </c>
      <c r="F420">
        <v>45830.01</v>
      </c>
      <c r="G420">
        <v>47185.29</v>
      </c>
      <c r="H420">
        <v>2174.9</v>
      </c>
      <c r="I420" t="str">
        <f>TRIM(C420)</f>
        <v>BTCUSD</v>
      </c>
      <c r="J420" t="e">
        <f>LEFT(#REF!,3)</f>
        <v>#REF!</v>
      </c>
    </row>
    <row r="421" spans="1:10" hidden="1" x14ac:dyDescent="0.25">
      <c r="A421" s="1">
        <v>44559</v>
      </c>
      <c r="B421" s="2" t="s">
        <v>20</v>
      </c>
      <c r="C421" s="2" t="s">
        <v>9</v>
      </c>
      <c r="D421">
        <v>48017.93</v>
      </c>
      <c r="E421">
        <v>48075.97</v>
      </c>
      <c r="F421">
        <v>45945.3</v>
      </c>
      <c r="G421">
        <v>46502.44</v>
      </c>
      <c r="H421">
        <v>1119.6300000000001</v>
      </c>
      <c r="I421" t="str">
        <f>TRIM(C421)</f>
        <v>BTCUSD</v>
      </c>
      <c r="J421" t="e">
        <f>LEFT(#REF!,3)</f>
        <v>#REF!</v>
      </c>
    </row>
    <row r="422" spans="1:10" hidden="1" x14ac:dyDescent="0.25">
      <c r="A422" s="1">
        <v>44252</v>
      </c>
      <c r="B422" s="2" t="s">
        <v>10</v>
      </c>
      <c r="C422" s="2" t="s">
        <v>9</v>
      </c>
      <c r="D422">
        <v>50266.89</v>
      </c>
      <c r="E422">
        <v>52074</v>
      </c>
      <c r="F422">
        <v>46000</v>
      </c>
      <c r="G422">
        <v>47360.43</v>
      </c>
      <c r="H422">
        <v>3900.71</v>
      </c>
      <c r="I422" t="str">
        <f>TRIM(C422)</f>
        <v>BTCUSD</v>
      </c>
      <c r="J422" t="e">
        <f>LEFT(#REF!,3)</f>
        <v>#REF!</v>
      </c>
    </row>
    <row r="423" spans="1:10" hidden="1" x14ac:dyDescent="0.25">
      <c r="A423" s="1">
        <v>44422</v>
      </c>
      <c r="B423" s="2" t="s">
        <v>16</v>
      </c>
      <c r="C423" s="2" t="s">
        <v>9</v>
      </c>
      <c r="D423">
        <v>47571.64</v>
      </c>
      <c r="E423">
        <v>48181.51</v>
      </c>
      <c r="F423">
        <v>46045.86</v>
      </c>
      <c r="G423">
        <v>46910.99</v>
      </c>
      <c r="H423">
        <v>1112.0899999999999</v>
      </c>
      <c r="I423" t="str">
        <f>TRIM(C423)</f>
        <v>BTCUSD</v>
      </c>
      <c r="J423" t="e">
        <f>LEFT(#REF!,3)</f>
        <v>#REF!</v>
      </c>
    </row>
    <row r="424" spans="1:10" hidden="1" x14ac:dyDescent="0.25">
      <c r="A424" s="1">
        <v>44548</v>
      </c>
      <c r="B424" s="2" t="s">
        <v>20</v>
      </c>
      <c r="C424" s="2" t="s">
        <v>9</v>
      </c>
      <c r="D424">
        <v>46312.19</v>
      </c>
      <c r="E424">
        <v>47980.93</v>
      </c>
      <c r="F424">
        <v>46100</v>
      </c>
      <c r="G424">
        <v>47745.99</v>
      </c>
      <c r="H424">
        <v>500.98</v>
      </c>
      <c r="I424" t="str">
        <f>TRIM(C424)</f>
        <v>BTCUSD</v>
      </c>
      <c r="J424" t="e">
        <f>LEFT(#REF!,3)</f>
        <v>#REF!</v>
      </c>
    </row>
    <row r="425" spans="1:10" hidden="1" x14ac:dyDescent="0.25">
      <c r="A425" s="1">
        <v>44549</v>
      </c>
      <c r="B425" s="2" t="s">
        <v>20</v>
      </c>
      <c r="C425" s="2" t="s">
        <v>9</v>
      </c>
      <c r="D425">
        <v>47745.99</v>
      </c>
      <c r="E425">
        <v>48306.22</v>
      </c>
      <c r="F425">
        <v>46255</v>
      </c>
      <c r="G425">
        <v>46709.08</v>
      </c>
      <c r="H425">
        <v>670.52</v>
      </c>
      <c r="I425" t="str">
        <f>TRIM(C425)</f>
        <v>BTCUSD</v>
      </c>
      <c r="J425" t="e">
        <f>LEFT(#REF!,3)</f>
        <v>#REF!</v>
      </c>
    </row>
    <row r="426" spans="1:10" hidden="1" x14ac:dyDescent="0.25">
      <c r="A426" s="1">
        <v>44434</v>
      </c>
      <c r="B426" s="2" t="s">
        <v>16</v>
      </c>
      <c r="C426" s="2" t="s">
        <v>9</v>
      </c>
      <c r="D426">
        <v>47931</v>
      </c>
      <c r="E426">
        <v>48053.14</v>
      </c>
      <c r="F426">
        <v>46287.63</v>
      </c>
      <c r="G426">
        <v>46845.94</v>
      </c>
      <c r="H426">
        <v>2205</v>
      </c>
      <c r="I426" t="str">
        <f>TRIM(C426)</f>
        <v>BTCUSD</v>
      </c>
      <c r="J426" t="e">
        <f>LEFT(#REF!,3)</f>
        <v>#REF!</v>
      </c>
    </row>
    <row r="427" spans="1:10" hidden="1" x14ac:dyDescent="0.25">
      <c r="A427" s="1">
        <v>44239</v>
      </c>
      <c r="B427" s="2" t="s">
        <v>10</v>
      </c>
      <c r="C427" s="2" t="s">
        <v>9</v>
      </c>
      <c r="D427">
        <v>47624.29</v>
      </c>
      <c r="E427">
        <v>48246.6</v>
      </c>
      <c r="F427">
        <v>46289.93</v>
      </c>
      <c r="G427">
        <v>47938.87</v>
      </c>
      <c r="H427">
        <v>2413.87</v>
      </c>
      <c r="I427" t="str">
        <f>TRIM(C427)</f>
        <v>BTCUSD</v>
      </c>
      <c r="J427" t="e">
        <f>LEFT(#REF!,3)</f>
        <v>#REF!</v>
      </c>
    </row>
    <row r="428" spans="1:10" hidden="1" x14ac:dyDescent="0.25">
      <c r="A428" s="1">
        <v>44240</v>
      </c>
      <c r="B428" s="2" t="s">
        <v>10</v>
      </c>
      <c r="C428" s="2" t="s">
        <v>9</v>
      </c>
      <c r="D428">
        <v>47938.87</v>
      </c>
      <c r="E428">
        <v>48027.3</v>
      </c>
      <c r="F428">
        <v>46290.25</v>
      </c>
      <c r="G428">
        <v>47381.8</v>
      </c>
      <c r="H428">
        <v>1252.44</v>
      </c>
      <c r="I428" t="str">
        <f>TRIM(C428)</f>
        <v>BTCUSD</v>
      </c>
      <c r="J428" t="e">
        <f>LEFT(#REF!,3)</f>
        <v>#REF!</v>
      </c>
    </row>
    <row r="429" spans="1:10" hidden="1" x14ac:dyDescent="0.25">
      <c r="A429" s="1">
        <v>44259</v>
      </c>
      <c r="B429" s="2" t="s">
        <v>11</v>
      </c>
      <c r="C429" s="2" t="s">
        <v>9</v>
      </c>
      <c r="D429">
        <v>49597.23</v>
      </c>
      <c r="E429">
        <v>50754.39</v>
      </c>
      <c r="F429">
        <v>46297.47</v>
      </c>
      <c r="G429">
        <v>47339.92</v>
      </c>
      <c r="H429">
        <v>2507.35</v>
      </c>
      <c r="I429" t="str">
        <f>TRIM(C429)</f>
        <v>BTCUSD</v>
      </c>
      <c r="J429" t="e">
        <f>LEFT(#REF!,3)</f>
        <v>#REF!</v>
      </c>
    </row>
    <row r="430" spans="1:10" hidden="1" x14ac:dyDescent="0.25">
      <c r="A430" s="1">
        <v>44242</v>
      </c>
      <c r="B430" s="2" t="s">
        <v>10</v>
      </c>
      <c r="C430" s="2" t="s">
        <v>9</v>
      </c>
      <c r="D430">
        <v>47185.29</v>
      </c>
      <c r="E430">
        <v>49600</v>
      </c>
      <c r="F430">
        <v>46334.68</v>
      </c>
      <c r="G430">
        <v>49587.199999999997</v>
      </c>
      <c r="H430">
        <v>1736.03</v>
      </c>
      <c r="I430" t="str">
        <f>TRIM(C430)</f>
        <v>BTCUSD</v>
      </c>
      <c r="J430" t="e">
        <f>LEFT(#REF!,3)</f>
        <v>#REF!</v>
      </c>
    </row>
    <row r="431" spans="1:10" hidden="1" x14ac:dyDescent="0.25">
      <c r="A431" s="1">
        <v>44544</v>
      </c>
      <c r="B431" s="2" t="s">
        <v>20</v>
      </c>
      <c r="C431" s="2" t="s">
        <v>9</v>
      </c>
      <c r="D431">
        <v>46968.47</v>
      </c>
      <c r="E431">
        <v>48784.28</v>
      </c>
      <c r="F431">
        <v>46350</v>
      </c>
      <c r="G431">
        <v>48280.5</v>
      </c>
      <c r="H431">
        <v>1026.1199999999999</v>
      </c>
      <c r="I431" t="str">
        <f>TRIM(C431)</f>
        <v>BTCUSD</v>
      </c>
      <c r="J431" t="e">
        <f>LEFT(#REF!,3)</f>
        <v>#REF!</v>
      </c>
    </row>
    <row r="432" spans="1:10" hidden="1" x14ac:dyDescent="0.25">
      <c r="A432" s="1">
        <v>44260</v>
      </c>
      <c r="B432" s="2" t="s">
        <v>11</v>
      </c>
      <c r="C432" s="2" t="s">
        <v>9</v>
      </c>
      <c r="D432">
        <v>47339.92</v>
      </c>
      <c r="E432">
        <v>49455.61</v>
      </c>
      <c r="F432">
        <v>46443.16</v>
      </c>
      <c r="G432">
        <v>48648.76</v>
      </c>
      <c r="H432">
        <v>1774.93</v>
      </c>
      <c r="I432" t="str">
        <f>TRIM(C432)</f>
        <v>BTCUSD</v>
      </c>
      <c r="J432" t="e">
        <f>LEFT(#REF!,3)</f>
        <v>#REF!</v>
      </c>
    </row>
    <row r="433" spans="1:10" hidden="1" x14ac:dyDescent="0.25">
      <c r="A433" s="1">
        <v>44560</v>
      </c>
      <c r="B433" s="2" t="s">
        <v>20</v>
      </c>
      <c r="C433" s="2" t="s">
        <v>9</v>
      </c>
      <c r="D433">
        <v>46502.44</v>
      </c>
      <c r="E433">
        <v>47949.3</v>
      </c>
      <c r="F433">
        <v>46496.19</v>
      </c>
      <c r="G433">
        <v>47207.99</v>
      </c>
      <c r="H433">
        <v>998.41</v>
      </c>
      <c r="I433" t="str">
        <f>TRIM(C433)</f>
        <v>BTCUSD</v>
      </c>
      <c r="J433" t="e">
        <f>LEFT(#REF!,3)</f>
        <v>#REF!</v>
      </c>
    </row>
    <row r="434" spans="1:10" hidden="1" x14ac:dyDescent="0.25">
      <c r="A434" s="1">
        <v>44331</v>
      </c>
      <c r="B434" s="2" t="s">
        <v>13</v>
      </c>
      <c r="C434" s="2" t="s">
        <v>9</v>
      </c>
      <c r="D434">
        <v>49670.85</v>
      </c>
      <c r="E434">
        <v>49900</v>
      </c>
      <c r="F434">
        <v>46500</v>
      </c>
      <c r="G434">
        <v>48383.6</v>
      </c>
      <c r="H434">
        <v>1938.26</v>
      </c>
      <c r="I434" t="str">
        <f>TRIM(C434)</f>
        <v>BTCUSD</v>
      </c>
      <c r="J434" t="e">
        <f>LEFT(#REF!,3)</f>
        <v>#REF!</v>
      </c>
    </row>
    <row r="435" spans="1:10" hidden="1" x14ac:dyDescent="0.25">
      <c r="A435" s="1">
        <v>44439</v>
      </c>
      <c r="B435" s="2" t="s">
        <v>16</v>
      </c>
      <c r="C435" s="2" t="s">
        <v>9</v>
      </c>
      <c r="D435">
        <v>47151.91</v>
      </c>
      <c r="E435">
        <v>48261.59</v>
      </c>
      <c r="F435">
        <v>46524.71</v>
      </c>
      <c r="G435">
        <v>47052.84</v>
      </c>
      <c r="H435">
        <v>1019.19</v>
      </c>
      <c r="I435" t="str">
        <f>TRIM(C435)</f>
        <v>BTCUSD</v>
      </c>
      <c r="J435" t="e">
        <f>LEFT(#REF!,3)</f>
        <v>#REF!</v>
      </c>
    </row>
    <row r="436" spans="1:10" hidden="1" x14ac:dyDescent="0.25">
      <c r="A436" s="1">
        <v>44545</v>
      </c>
      <c r="B436" s="2" t="s">
        <v>20</v>
      </c>
      <c r="C436" s="2" t="s">
        <v>9</v>
      </c>
      <c r="D436">
        <v>48280.5</v>
      </c>
      <c r="E436">
        <v>49500</v>
      </c>
      <c r="F436">
        <v>46539</v>
      </c>
      <c r="G436">
        <v>48838.59</v>
      </c>
      <c r="H436">
        <v>1684.17</v>
      </c>
      <c r="I436" t="str">
        <f>TRIM(C436)</f>
        <v>BTCUSD</v>
      </c>
      <c r="J436" t="e">
        <f>LEFT(#REF!,3)</f>
        <v>#REF!</v>
      </c>
    </row>
    <row r="437" spans="1:10" hidden="1" x14ac:dyDescent="0.25">
      <c r="A437" s="1">
        <v>44435</v>
      </c>
      <c r="B437" s="2" t="s">
        <v>16</v>
      </c>
      <c r="C437" s="2" t="s">
        <v>9</v>
      </c>
      <c r="D437">
        <v>46845.94</v>
      </c>
      <c r="E437">
        <v>49313.26</v>
      </c>
      <c r="F437">
        <v>46603.360000000001</v>
      </c>
      <c r="G437">
        <v>48900.01</v>
      </c>
      <c r="H437">
        <v>1383.21</v>
      </c>
      <c r="I437" t="str">
        <f>TRIM(C437)</f>
        <v>BTCUSD</v>
      </c>
      <c r="J437" t="e">
        <f>LEFT(#REF!,3)</f>
        <v>#REF!</v>
      </c>
    </row>
    <row r="438" spans="1:10" hidden="1" x14ac:dyDescent="0.25">
      <c r="A438" s="1">
        <v>44428</v>
      </c>
      <c r="B438" s="2" t="s">
        <v>16</v>
      </c>
      <c r="C438" s="2" t="s">
        <v>9</v>
      </c>
      <c r="D438">
        <v>47042.28</v>
      </c>
      <c r="E438">
        <v>49400</v>
      </c>
      <c r="F438">
        <v>46714.57</v>
      </c>
      <c r="G438">
        <v>48839.62</v>
      </c>
      <c r="H438">
        <v>1328.32</v>
      </c>
      <c r="I438" t="str">
        <f>TRIM(C438)</f>
        <v>BTCUSD</v>
      </c>
      <c r="J438" t="e">
        <f>LEFT(#REF!,3)</f>
        <v>#REF!</v>
      </c>
    </row>
    <row r="439" spans="1:10" hidden="1" x14ac:dyDescent="0.25">
      <c r="A439" s="1">
        <v>44438</v>
      </c>
      <c r="B439" s="2" t="s">
        <v>16</v>
      </c>
      <c r="C439" s="2" t="s">
        <v>9</v>
      </c>
      <c r="D439">
        <v>47989.58</v>
      </c>
      <c r="E439">
        <v>48735.71</v>
      </c>
      <c r="F439">
        <v>46717.24</v>
      </c>
      <c r="G439">
        <v>47151.91</v>
      </c>
      <c r="H439">
        <v>933.28</v>
      </c>
      <c r="I439" t="str">
        <f>TRIM(C439)</f>
        <v>BTCUSD</v>
      </c>
      <c r="J439" t="e">
        <f>LEFT(#REF!,3)</f>
        <v>#REF!</v>
      </c>
    </row>
    <row r="440" spans="1:10" hidden="1" x14ac:dyDescent="0.25">
      <c r="A440" s="1">
        <v>44454</v>
      </c>
      <c r="B440" s="2" t="s">
        <v>17</v>
      </c>
      <c r="C440" s="2" t="s">
        <v>9</v>
      </c>
      <c r="D440">
        <v>47101.27</v>
      </c>
      <c r="E440">
        <v>48455.16</v>
      </c>
      <c r="F440">
        <v>46730.15</v>
      </c>
      <c r="G440">
        <v>47629.1</v>
      </c>
      <c r="H440">
        <v>1276.6199999999999</v>
      </c>
      <c r="I440" t="str">
        <f>TRIM(C440)</f>
        <v>BTCUSD</v>
      </c>
      <c r="J440" t="e">
        <f>LEFT(#REF!,3)</f>
        <v>#REF!</v>
      </c>
    </row>
    <row r="441" spans="1:10" hidden="1" x14ac:dyDescent="0.25">
      <c r="A441" s="1">
        <v>44456</v>
      </c>
      <c r="B441" s="2" t="s">
        <v>17</v>
      </c>
      <c r="C441" s="2" t="s">
        <v>9</v>
      </c>
      <c r="D441">
        <v>47907</v>
      </c>
      <c r="E441">
        <v>48165.96</v>
      </c>
      <c r="F441">
        <v>46754.93</v>
      </c>
      <c r="G441">
        <v>47962.79</v>
      </c>
      <c r="H441">
        <v>1247.3800000000001</v>
      </c>
      <c r="I441" t="str">
        <f>TRIM(C441)</f>
        <v>BTCUSD</v>
      </c>
      <c r="J441" t="e">
        <f>LEFT(#REF!,3)</f>
        <v>#REF!</v>
      </c>
    </row>
    <row r="442" spans="1:10" hidden="1" x14ac:dyDescent="0.25">
      <c r="A442" s="1">
        <v>44540</v>
      </c>
      <c r="B442" s="2" t="s">
        <v>20</v>
      </c>
      <c r="C442" s="2" t="s">
        <v>9</v>
      </c>
      <c r="D442">
        <v>48405.03</v>
      </c>
      <c r="E442">
        <v>49243</v>
      </c>
      <c r="F442">
        <v>46759.199999999997</v>
      </c>
      <c r="G442">
        <v>48331.11</v>
      </c>
      <c r="H442">
        <v>766.72</v>
      </c>
      <c r="I442" t="str">
        <f>TRIM(C442)</f>
        <v>BTCUSD</v>
      </c>
      <c r="J442" t="e">
        <f>LEFT(#REF!,3)</f>
        <v>#REF!</v>
      </c>
    </row>
    <row r="443" spans="1:10" hidden="1" x14ac:dyDescent="0.25">
      <c r="A443" s="1">
        <v>44473</v>
      </c>
      <c r="B443" s="2" t="s">
        <v>18</v>
      </c>
      <c r="C443" s="2" t="s">
        <v>9</v>
      </c>
      <c r="D443">
        <v>47509.65</v>
      </c>
      <c r="E443">
        <v>49789.33</v>
      </c>
      <c r="F443">
        <v>46926.68</v>
      </c>
      <c r="G443">
        <v>49320.94</v>
      </c>
      <c r="H443">
        <v>1755.41</v>
      </c>
      <c r="I443" t="str">
        <f>TRIM(C443)</f>
        <v>BTCUSD</v>
      </c>
      <c r="J443" t="e">
        <f>LEFT(#REF!,3)</f>
        <v>#REF!</v>
      </c>
    </row>
    <row r="444" spans="1:10" hidden="1" x14ac:dyDescent="0.25">
      <c r="A444" s="1">
        <v>44329</v>
      </c>
      <c r="B444" s="2" t="s">
        <v>13</v>
      </c>
      <c r="C444" s="2" t="s">
        <v>9</v>
      </c>
      <c r="D444">
        <v>50493.11</v>
      </c>
      <c r="E444">
        <v>51389.95</v>
      </c>
      <c r="F444">
        <v>46962.39</v>
      </c>
      <c r="G444">
        <v>49221.07</v>
      </c>
      <c r="H444">
        <v>4250.47</v>
      </c>
      <c r="I444" t="str">
        <f>TRIM(C444)</f>
        <v>BTCUSD</v>
      </c>
      <c r="J444" t="e">
        <f>LEFT(#REF!,3)</f>
        <v>#REF!</v>
      </c>
    </row>
    <row r="445" spans="1:10" hidden="1" x14ac:dyDescent="0.25">
      <c r="A445" s="1">
        <v>44440</v>
      </c>
      <c r="B445" s="2" t="s">
        <v>17</v>
      </c>
      <c r="C445" s="2" t="s">
        <v>9</v>
      </c>
      <c r="D445">
        <v>47052.84</v>
      </c>
      <c r="E445">
        <v>49935.09</v>
      </c>
      <c r="F445">
        <v>46980.44</v>
      </c>
      <c r="G445">
        <v>49596.74</v>
      </c>
      <c r="H445">
        <v>1105.1400000000001</v>
      </c>
      <c r="I445" t="str">
        <f>TRIM(C445)</f>
        <v>BTCUSD</v>
      </c>
      <c r="J445" t="e">
        <f>LEFT(#REF!,3)</f>
        <v>#REF!</v>
      </c>
    </row>
    <row r="446" spans="1:10" hidden="1" x14ac:dyDescent="0.25">
      <c r="A446" s="1">
        <v>44311</v>
      </c>
      <c r="B446" s="2" t="s">
        <v>12</v>
      </c>
      <c r="C446" s="2" t="s">
        <v>9</v>
      </c>
      <c r="D446">
        <v>49721.97</v>
      </c>
      <c r="E446">
        <v>52567.77</v>
      </c>
      <c r="F446">
        <v>47000</v>
      </c>
      <c r="G446">
        <v>52435.9</v>
      </c>
      <c r="H446">
        <v>2662.93</v>
      </c>
      <c r="I446" t="str">
        <f>TRIM(C446)</f>
        <v>BTCUSD</v>
      </c>
      <c r="J446" t="e">
        <f>LEFT(#REF!,3)</f>
        <v>#REF!</v>
      </c>
    </row>
    <row r="447" spans="1:10" hidden="1" x14ac:dyDescent="0.25">
      <c r="A447" s="1">
        <v>44249</v>
      </c>
      <c r="B447" s="2" t="s">
        <v>10</v>
      </c>
      <c r="C447" s="2" t="s">
        <v>9</v>
      </c>
      <c r="D447">
        <v>55914.43</v>
      </c>
      <c r="E447">
        <v>56651.47</v>
      </c>
      <c r="F447">
        <v>47000</v>
      </c>
      <c r="G447">
        <v>51847.25</v>
      </c>
      <c r="H447">
        <v>5371.31</v>
      </c>
      <c r="I447" t="str">
        <f>TRIM(C447)</f>
        <v>BTCUSD</v>
      </c>
      <c r="J447" t="e">
        <f>LEFT(#REF!,3)</f>
        <v>#REF!</v>
      </c>
    </row>
    <row r="448" spans="1:10" hidden="1" x14ac:dyDescent="0.25">
      <c r="A448" s="1">
        <v>44455</v>
      </c>
      <c r="B448" s="2" t="s">
        <v>17</v>
      </c>
      <c r="C448" s="2" t="s">
        <v>9</v>
      </c>
      <c r="D448">
        <v>47629.1</v>
      </c>
      <c r="E448">
        <v>48500</v>
      </c>
      <c r="F448">
        <v>47041.24</v>
      </c>
      <c r="G448">
        <v>47907</v>
      </c>
      <c r="H448">
        <v>1069.57</v>
      </c>
      <c r="I448" t="str">
        <f>TRIM(C448)</f>
        <v>BTCUSD</v>
      </c>
      <c r="J448" t="e">
        <f>LEFT(#REF!,3)</f>
        <v>#REF!</v>
      </c>
    </row>
    <row r="449" spans="1:10" hidden="1" x14ac:dyDescent="0.25">
      <c r="A449" s="1">
        <v>44257</v>
      </c>
      <c r="B449" s="2" t="s">
        <v>11</v>
      </c>
      <c r="C449" s="2" t="s">
        <v>9</v>
      </c>
      <c r="D449">
        <v>49023.76</v>
      </c>
      <c r="E449">
        <v>49757.22</v>
      </c>
      <c r="F449">
        <v>47076.52</v>
      </c>
      <c r="G449">
        <v>48749.78</v>
      </c>
      <c r="H449">
        <v>1887.71</v>
      </c>
      <c r="I449" t="str">
        <f>TRIM(C449)</f>
        <v>BTCUSD</v>
      </c>
      <c r="J449" t="e">
        <f>LEFT(#REF!,3)</f>
        <v>#REF!</v>
      </c>
    </row>
    <row r="450" spans="1:10" hidden="1" x14ac:dyDescent="0.25">
      <c r="A450" s="1">
        <v>44261</v>
      </c>
      <c r="B450" s="2" t="s">
        <v>11</v>
      </c>
      <c r="C450" s="2" t="s">
        <v>9</v>
      </c>
      <c r="D450">
        <v>48648.76</v>
      </c>
      <c r="E450">
        <v>49915.73</v>
      </c>
      <c r="F450">
        <v>47096.87</v>
      </c>
      <c r="G450">
        <v>49610.32</v>
      </c>
      <c r="H450">
        <v>1027.29</v>
      </c>
      <c r="I450" t="str">
        <f>TRIM(C450)</f>
        <v>BTCUSD</v>
      </c>
      <c r="J450" t="e">
        <f>LEFT(#REF!,3)</f>
        <v>#REF!</v>
      </c>
    </row>
    <row r="451" spans="1:10" hidden="1" x14ac:dyDescent="0.25">
      <c r="A451" s="1">
        <v>44433</v>
      </c>
      <c r="B451" s="2" t="s">
        <v>16</v>
      </c>
      <c r="C451" s="2" t="s">
        <v>9</v>
      </c>
      <c r="D451">
        <v>47995.78</v>
      </c>
      <c r="E451">
        <v>49365.42</v>
      </c>
      <c r="F451">
        <v>47112.12</v>
      </c>
      <c r="G451">
        <v>47931</v>
      </c>
      <c r="H451">
        <v>1666.41</v>
      </c>
      <c r="I451" t="str">
        <f>TRIM(C451)</f>
        <v>BTCUSD</v>
      </c>
      <c r="J451" t="e">
        <f>LEFT(#REF!,3)</f>
        <v>#REF!</v>
      </c>
    </row>
    <row r="452" spans="1:10" hidden="1" x14ac:dyDescent="0.25">
      <c r="A452" s="1">
        <v>44471</v>
      </c>
      <c r="B452" s="2" t="s">
        <v>18</v>
      </c>
      <c r="C452" s="2" t="s">
        <v>9</v>
      </c>
      <c r="D452">
        <v>47555.51</v>
      </c>
      <c r="E452">
        <v>48346.7</v>
      </c>
      <c r="F452">
        <v>47144</v>
      </c>
      <c r="G452">
        <v>47899.79</v>
      </c>
      <c r="H452">
        <v>761.86</v>
      </c>
      <c r="I452" t="str">
        <f>TRIM(C452)</f>
        <v>BTCUSD</v>
      </c>
      <c r="J452" t="e">
        <f>LEFT(#REF!,3)</f>
        <v>#REF!</v>
      </c>
    </row>
    <row r="453" spans="1:10" hidden="1" x14ac:dyDescent="0.25">
      <c r="A453" s="1">
        <v>44536</v>
      </c>
      <c r="B453" s="2" t="s">
        <v>20</v>
      </c>
      <c r="C453" s="2" t="s">
        <v>9</v>
      </c>
      <c r="D453">
        <v>49103.01</v>
      </c>
      <c r="E453">
        <v>51481.04</v>
      </c>
      <c r="F453">
        <v>47165.65</v>
      </c>
      <c r="G453">
        <v>51012.43</v>
      </c>
      <c r="H453">
        <v>2139.33</v>
      </c>
      <c r="I453" t="str">
        <f>TRIM(C453)</f>
        <v>BTCUSD</v>
      </c>
      <c r="J453" t="e">
        <f>LEFT(#REF!,3)</f>
        <v>#REF!</v>
      </c>
    </row>
    <row r="454" spans="1:10" hidden="1" x14ac:dyDescent="0.25">
      <c r="A454" s="1">
        <v>44309</v>
      </c>
      <c r="B454" s="2" t="s">
        <v>12</v>
      </c>
      <c r="C454" s="2" t="s">
        <v>9</v>
      </c>
      <c r="D454">
        <v>50329.66</v>
      </c>
      <c r="E454">
        <v>51380.03</v>
      </c>
      <c r="F454">
        <v>47231</v>
      </c>
      <c r="G454">
        <v>50195.42</v>
      </c>
      <c r="H454">
        <v>3250.51</v>
      </c>
      <c r="I454" t="str">
        <f>TRIM(C454)</f>
        <v>BTCUSD</v>
      </c>
      <c r="J454" t="e">
        <f>LEFT(#REF!,3)</f>
        <v>#REF!</v>
      </c>
    </row>
    <row r="455" spans="1:10" hidden="1" x14ac:dyDescent="0.25">
      <c r="A455" s="1">
        <v>44558</v>
      </c>
      <c r="B455" s="2" t="s">
        <v>20</v>
      </c>
      <c r="C455" s="2" t="s">
        <v>9</v>
      </c>
      <c r="D455">
        <v>49821.79</v>
      </c>
      <c r="E455">
        <v>49834.68</v>
      </c>
      <c r="F455">
        <v>47322.97</v>
      </c>
      <c r="G455">
        <v>48017.93</v>
      </c>
      <c r="H455">
        <v>1275.01</v>
      </c>
      <c r="I455" t="str">
        <f>TRIM(C455)</f>
        <v>BTCUSD</v>
      </c>
      <c r="J455" t="e">
        <f>LEFT(#REF!,3)</f>
        <v>#REF!</v>
      </c>
    </row>
    <row r="456" spans="1:10" hidden="1" x14ac:dyDescent="0.25">
      <c r="A456" s="1">
        <v>44539</v>
      </c>
      <c r="B456" s="2" t="s">
        <v>20</v>
      </c>
      <c r="C456" s="2" t="s">
        <v>9</v>
      </c>
      <c r="D456">
        <v>49567.4</v>
      </c>
      <c r="E456">
        <v>50362.35</v>
      </c>
      <c r="F456">
        <v>47335.199999999997</v>
      </c>
      <c r="G456">
        <v>48405.03</v>
      </c>
      <c r="H456">
        <v>1686.8</v>
      </c>
      <c r="I456" t="str">
        <f>TRIM(C456)</f>
        <v>BTCUSD</v>
      </c>
      <c r="J456" t="e">
        <f>LEFT(#REF!,3)</f>
        <v>#REF!</v>
      </c>
    </row>
    <row r="457" spans="1:10" hidden="1" x14ac:dyDescent="0.25">
      <c r="A457" s="1">
        <v>44472</v>
      </c>
      <c r="B457" s="2" t="s">
        <v>18</v>
      </c>
      <c r="C457" s="2" t="s">
        <v>9</v>
      </c>
      <c r="D457">
        <v>47899.79</v>
      </c>
      <c r="E457">
        <v>49259.3</v>
      </c>
      <c r="F457">
        <v>47372.35</v>
      </c>
      <c r="G457">
        <v>47509.65</v>
      </c>
      <c r="H457">
        <v>864.8</v>
      </c>
      <c r="I457" t="str">
        <f>TRIM(C457)</f>
        <v>BTCUSD</v>
      </c>
      <c r="J457" t="e">
        <f>LEFT(#REF!,3)</f>
        <v>#REF!</v>
      </c>
    </row>
    <row r="458" spans="1:10" hidden="1" x14ac:dyDescent="0.25">
      <c r="A458" s="1">
        <v>44546</v>
      </c>
      <c r="B458" s="2" t="s">
        <v>20</v>
      </c>
      <c r="C458" s="2" t="s">
        <v>9</v>
      </c>
      <c r="D458">
        <v>48838.59</v>
      </c>
      <c r="E458">
        <v>49466.29</v>
      </c>
      <c r="F458">
        <v>47438.15</v>
      </c>
      <c r="G458">
        <v>47779.8</v>
      </c>
      <c r="H458">
        <v>881.67</v>
      </c>
      <c r="I458" t="str">
        <f>TRIM(C458)</f>
        <v>BTCUSD</v>
      </c>
      <c r="J458" t="e">
        <f>LEFT(#REF!,3)</f>
        <v>#REF!</v>
      </c>
    </row>
    <row r="459" spans="1:10" hidden="1" x14ac:dyDescent="0.25">
      <c r="A459" s="1">
        <v>44457</v>
      </c>
      <c r="B459" s="2" t="s">
        <v>17</v>
      </c>
      <c r="C459" s="2" t="s">
        <v>9</v>
      </c>
      <c r="D459">
        <v>47962.79</v>
      </c>
      <c r="E459">
        <v>48808.97</v>
      </c>
      <c r="F459">
        <v>47613.93</v>
      </c>
      <c r="G459">
        <v>47854.23</v>
      </c>
      <c r="H459">
        <v>671.36</v>
      </c>
      <c r="I459" t="str">
        <f>TRIM(C459)</f>
        <v>BTCUSD</v>
      </c>
      <c r="J459" t="e">
        <f>LEFT(#REF!,3)</f>
        <v>#REF!</v>
      </c>
    </row>
    <row r="460" spans="1:10" hidden="1" x14ac:dyDescent="0.25">
      <c r="A460" s="1">
        <v>44432</v>
      </c>
      <c r="B460" s="2" t="s">
        <v>16</v>
      </c>
      <c r="C460" s="2" t="s">
        <v>9</v>
      </c>
      <c r="D460">
        <v>49350</v>
      </c>
      <c r="E460">
        <v>49867.71</v>
      </c>
      <c r="F460">
        <v>47614.3</v>
      </c>
      <c r="G460">
        <v>47995.78</v>
      </c>
      <c r="H460">
        <v>1369.87</v>
      </c>
      <c r="I460" t="str">
        <f>TRIM(C460)</f>
        <v>BTCUSD</v>
      </c>
      <c r="J460" t="e">
        <f>LEFT(#REF!,3)</f>
        <v>#REF!</v>
      </c>
    </row>
    <row r="461" spans="1:10" hidden="1" x14ac:dyDescent="0.25">
      <c r="A461" s="1">
        <v>44437</v>
      </c>
      <c r="B461" s="2" t="s">
        <v>16</v>
      </c>
      <c r="C461" s="2" t="s">
        <v>9</v>
      </c>
      <c r="D461">
        <v>48267.19</v>
      </c>
      <c r="E461">
        <v>49408.07</v>
      </c>
      <c r="F461">
        <v>47800</v>
      </c>
      <c r="G461">
        <v>47989.58</v>
      </c>
      <c r="H461">
        <v>446.77</v>
      </c>
      <c r="I461" t="str">
        <f>TRIM(C461)</f>
        <v>BTCUSD</v>
      </c>
      <c r="J461" t="e">
        <f>LEFT(#REF!,3)</f>
        <v>#REF!</v>
      </c>
    </row>
    <row r="462" spans="1:10" hidden="1" x14ac:dyDescent="0.25">
      <c r="A462" s="1">
        <v>44243</v>
      </c>
      <c r="B462" s="2" t="s">
        <v>10</v>
      </c>
      <c r="C462" s="2" t="s">
        <v>9</v>
      </c>
      <c r="D462">
        <v>49587.199999999997</v>
      </c>
      <c r="E462">
        <v>50602.34</v>
      </c>
      <c r="F462">
        <v>47818.86</v>
      </c>
      <c r="G462">
        <v>49649.93</v>
      </c>
      <c r="H462">
        <v>2776.27</v>
      </c>
      <c r="I462" t="str">
        <f>TRIM(C462)</f>
        <v>BTCUSD</v>
      </c>
      <c r="J462" t="e">
        <f>LEFT(#REF!,3)</f>
        <v>#REF!</v>
      </c>
    </row>
    <row r="463" spans="1:10" hidden="1" x14ac:dyDescent="0.25">
      <c r="A463" s="1">
        <v>44541</v>
      </c>
      <c r="B463" s="2" t="s">
        <v>20</v>
      </c>
      <c r="C463" s="2" t="s">
        <v>9</v>
      </c>
      <c r="D463">
        <v>48331.11</v>
      </c>
      <c r="E463">
        <v>49699.99</v>
      </c>
      <c r="F463">
        <v>47819.28</v>
      </c>
      <c r="G463">
        <v>49333.66</v>
      </c>
      <c r="H463">
        <v>623.86</v>
      </c>
      <c r="I463" t="str">
        <f>TRIM(C463)</f>
        <v>BTCUSD</v>
      </c>
      <c r="J463" t="e">
        <f>LEFT(#REF!,3)</f>
        <v>#REF!</v>
      </c>
    </row>
    <row r="464" spans="1:10" hidden="1" x14ac:dyDescent="0.25">
      <c r="A464" s="1">
        <v>44535</v>
      </c>
      <c r="B464" s="2" t="s">
        <v>20</v>
      </c>
      <c r="C464" s="2" t="s">
        <v>9</v>
      </c>
      <c r="D464">
        <v>49249.56</v>
      </c>
      <c r="E464">
        <v>49786.95</v>
      </c>
      <c r="F464">
        <v>47844.03</v>
      </c>
      <c r="G464">
        <v>49103.01</v>
      </c>
      <c r="H464">
        <v>3697.03</v>
      </c>
      <c r="I464" t="str">
        <f>TRIM(C464)</f>
        <v>BTCUSD</v>
      </c>
      <c r="J464" t="e">
        <f>LEFT(#REF!,3)</f>
        <v>#REF!</v>
      </c>
    </row>
    <row r="465" spans="1:10" hidden="1" x14ac:dyDescent="0.25">
      <c r="A465" s="1">
        <v>44551</v>
      </c>
      <c r="B465" s="2" t="s">
        <v>20</v>
      </c>
      <c r="C465" s="2" t="s">
        <v>9</v>
      </c>
      <c r="D465">
        <v>47954.559999999998</v>
      </c>
      <c r="E465">
        <v>49598.11</v>
      </c>
      <c r="F465">
        <v>47948.07</v>
      </c>
      <c r="G465">
        <v>49263.44</v>
      </c>
      <c r="H465">
        <v>1235.8900000000001</v>
      </c>
      <c r="I465" t="str">
        <f>TRIM(C465)</f>
        <v>BTCUSD</v>
      </c>
      <c r="J465" t="e">
        <f>LEFT(#REF!,3)</f>
        <v>#REF!</v>
      </c>
    </row>
    <row r="466" spans="1:10" hidden="1" x14ac:dyDescent="0.25">
      <c r="A466" s="1">
        <v>44552</v>
      </c>
      <c r="B466" s="2" t="s">
        <v>20</v>
      </c>
      <c r="C466" s="2" t="s">
        <v>9</v>
      </c>
      <c r="D466">
        <v>49263.44</v>
      </c>
      <c r="E466">
        <v>49548.86</v>
      </c>
      <c r="F466">
        <v>48063.360000000001</v>
      </c>
      <c r="G466">
        <v>48545.38</v>
      </c>
      <c r="H466">
        <v>726.8</v>
      </c>
      <c r="I466" t="str">
        <f>TRIM(C466)</f>
        <v>BTCUSD</v>
      </c>
      <c r="J466" t="e">
        <f>LEFT(#REF!,3)</f>
        <v>#REF!</v>
      </c>
    </row>
    <row r="467" spans="1:10" hidden="1" x14ac:dyDescent="0.25">
      <c r="A467" s="1">
        <v>44430</v>
      </c>
      <c r="B467" s="2" t="s">
        <v>16</v>
      </c>
      <c r="C467" s="2" t="s">
        <v>9</v>
      </c>
      <c r="D467">
        <v>48837.62</v>
      </c>
      <c r="E467">
        <v>50540.19</v>
      </c>
      <c r="F467">
        <v>48071.03</v>
      </c>
      <c r="G467">
        <v>50289.05</v>
      </c>
      <c r="H467">
        <v>974.81</v>
      </c>
      <c r="I467" t="str">
        <f>TRIM(C467)</f>
        <v>BTCUSD</v>
      </c>
      <c r="J467" t="e">
        <f>LEFT(#REF!,3)</f>
        <v>#REF!</v>
      </c>
    </row>
    <row r="468" spans="1:10" hidden="1" x14ac:dyDescent="0.25">
      <c r="A468" s="1">
        <v>44553</v>
      </c>
      <c r="B468" s="2" t="s">
        <v>20</v>
      </c>
      <c r="C468" s="2" t="s">
        <v>9</v>
      </c>
      <c r="D468">
        <v>48545.38</v>
      </c>
      <c r="E468">
        <v>51533.71</v>
      </c>
      <c r="F468">
        <v>48072.35</v>
      </c>
      <c r="G468">
        <v>51067.839999999997</v>
      </c>
      <c r="H468">
        <v>1001.26</v>
      </c>
      <c r="I468" t="str">
        <f>TRIM(C468)</f>
        <v>BTCUSD</v>
      </c>
      <c r="J468" t="e">
        <f>LEFT(#REF!,3)</f>
        <v>#REF!</v>
      </c>
    </row>
    <row r="469" spans="1:10" hidden="1" x14ac:dyDescent="0.25">
      <c r="A469" s="1">
        <v>44436</v>
      </c>
      <c r="B469" s="2" t="s">
        <v>16</v>
      </c>
      <c r="C469" s="2" t="s">
        <v>9</v>
      </c>
      <c r="D469">
        <v>48900.01</v>
      </c>
      <c r="E469">
        <v>49650</v>
      </c>
      <c r="F469">
        <v>48107.99</v>
      </c>
      <c r="G469">
        <v>48267.19</v>
      </c>
      <c r="H469">
        <v>544.26</v>
      </c>
      <c r="I469" t="str">
        <f>TRIM(C469)</f>
        <v>BTCUSD</v>
      </c>
      <c r="J469" t="e">
        <f>LEFT(#REF!,3)</f>
        <v>#REF!</v>
      </c>
    </row>
    <row r="470" spans="1:10" hidden="1" x14ac:dyDescent="0.25">
      <c r="A470" s="1">
        <v>44251</v>
      </c>
      <c r="B470" s="2" t="s">
        <v>10</v>
      </c>
      <c r="C470" s="2" t="s">
        <v>9</v>
      </c>
      <c r="D470">
        <v>50965.74</v>
      </c>
      <c r="E470">
        <v>51442.01</v>
      </c>
      <c r="F470">
        <v>48113.83</v>
      </c>
      <c r="G470">
        <v>50266.89</v>
      </c>
      <c r="H470">
        <v>2798.46</v>
      </c>
      <c r="I470" t="str">
        <f>TRIM(C470)</f>
        <v>BTCUSD</v>
      </c>
      <c r="J470" t="e">
        <f>LEFT(#REF!,3)</f>
        <v>#REF!</v>
      </c>
    </row>
    <row r="471" spans="1:10" hidden="1" x14ac:dyDescent="0.25">
      <c r="A471" s="1">
        <v>44429</v>
      </c>
      <c r="B471" s="2" t="s">
        <v>16</v>
      </c>
      <c r="C471" s="2" t="s">
        <v>9</v>
      </c>
      <c r="D471">
        <v>48839.62</v>
      </c>
      <c r="E471">
        <v>49812.54</v>
      </c>
      <c r="F471">
        <v>48281.42</v>
      </c>
      <c r="G471">
        <v>48837.62</v>
      </c>
      <c r="H471">
        <v>1213.1099999999999</v>
      </c>
      <c r="I471" t="str">
        <f>TRIM(C471)</f>
        <v>BTCUSD</v>
      </c>
      <c r="J471" t="e">
        <f>LEFT(#REF!,3)</f>
        <v>#REF!</v>
      </c>
    </row>
    <row r="472" spans="1:10" hidden="1" x14ac:dyDescent="0.25">
      <c r="A472" s="1">
        <v>44441</v>
      </c>
      <c r="B472" s="2" t="s">
        <v>17</v>
      </c>
      <c r="C472" s="2" t="s">
        <v>9</v>
      </c>
      <c r="D472">
        <v>49596.74</v>
      </c>
      <c r="E472">
        <v>50412</v>
      </c>
      <c r="F472">
        <v>48358.879999999997</v>
      </c>
      <c r="G472">
        <v>49485</v>
      </c>
      <c r="H472">
        <v>885.44</v>
      </c>
      <c r="I472" t="str">
        <f>TRIM(C472)</f>
        <v>BTCUSD</v>
      </c>
      <c r="J472" t="e">
        <f>LEFT(#REF!,3)</f>
        <v>#REF!</v>
      </c>
    </row>
    <row r="473" spans="1:10" hidden="1" x14ac:dyDescent="0.25">
      <c r="A473" s="1">
        <v>44542</v>
      </c>
      <c r="B473" s="2" t="s">
        <v>20</v>
      </c>
      <c r="C473" s="2" t="s">
        <v>9</v>
      </c>
      <c r="D473">
        <v>49333.66</v>
      </c>
      <c r="E473">
        <v>50808.480000000003</v>
      </c>
      <c r="F473">
        <v>48490.81</v>
      </c>
      <c r="G473">
        <v>48899.75</v>
      </c>
      <c r="H473">
        <v>779.55</v>
      </c>
      <c r="I473" t="str">
        <f>TRIM(C473)</f>
        <v>BTCUSD</v>
      </c>
      <c r="J473" t="e">
        <f>LEFT(#REF!,3)</f>
        <v>#REF!</v>
      </c>
    </row>
    <row r="474" spans="1:10" hidden="1" x14ac:dyDescent="0.25">
      <c r="A474" s="1">
        <v>44308</v>
      </c>
      <c r="B474" s="2" t="s">
        <v>12</v>
      </c>
      <c r="C474" s="2" t="s">
        <v>9</v>
      </c>
      <c r="D474">
        <v>53508.08</v>
      </c>
      <c r="E474">
        <v>55499.99</v>
      </c>
      <c r="F474">
        <v>48565.58</v>
      </c>
      <c r="G474">
        <v>50329.66</v>
      </c>
      <c r="H474">
        <v>4415.7</v>
      </c>
      <c r="I474" t="str">
        <f>TRIM(C474)</f>
        <v>BTCUSD</v>
      </c>
      <c r="J474" t="e">
        <f>LEFT(#REF!,3)</f>
        <v>#REF!</v>
      </c>
    </row>
    <row r="475" spans="1:10" hidden="1" x14ac:dyDescent="0.25">
      <c r="A475" s="1">
        <v>44538</v>
      </c>
      <c r="B475" s="2" t="s">
        <v>20</v>
      </c>
      <c r="C475" s="2" t="s">
        <v>9</v>
      </c>
      <c r="D475">
        <v>50162.48</v>
      </c>
      <c r="E475">
        <v>51269.82</v>
      </c>
      <c r="F475">
        <v>48669.68</v>
      </c>
      <c r="G475">
        <v>49567.4</v>
      </c>
      <c r="H475">
        <v>1215.5999999999999</v>
      </c>
      <c r="I475" t="str">
        <f>TRIM(C475)</f>
        <v>BTCUSD</v>
      </c>
      <c r="J475" t="e">
        <f>LEFT(#REF!,3)</f>
        <v>#REF!</v>
      </c>
    </row>
    <row r="476" spans="1:10" hidden="1" x14ac:dyDescent="0.25">
      <c r="A476" s="1">
        <v>44258</v>
      </c>
      <c r="B476" s="2" t="s">
        <v>11</v>
      </c>
      <c r="C476" s="2" t="s">
        <v>9</v>
      </c>
      <c r="D476">
        <v>48749.78</v>
      </c>
      <c r="E476">
        <v>52737.2</v>
      </c>
      <c r="F476">
        <v>48697.279999999999</v>
      </c>
      <c r="G476">
        <v>49597.23</v>
      </c>
      <c r="H476">
        <v>2756.27</v>
      </c>
      <c r="I476" t="str">
        <f>TRIM(C476)</f>
        <v>BTCUSD</v>
      </c>
      <c r="J476" t="e">
        <f>LEFT(#REF!,3)</f>
        <v>#REF!</v>
      </c>
    </row>
    <row r="477" spans="1:10" hidden="1" x14ac:dyDescent="0.25">
      <c r="A477" s="1">
        <v>44310</v>
      </c>
      <c r="B477" s="2" t="s">
        <v>12</v>
      </c>
      <c r="C477" s="2" t="s">
        <v>9</v>
      </c>
      <c r="D477">
        <v>50195.42</v>
      </c>
      <c r="E477">
        <v>51150.01</v>
      </c>
      <c r="F477">
        <v>48755.01</v>
      </c>
      <c r="G477">
        <v>49721.97</v>
      </c>
      <c r="H477">
        <v>943.26</v>
      </c>
      <c r="I477" t="str">
        <f>TRIM(C477)</f>
        <v>BTCUSD</v>
      </c>
      <c r="J477" t="e">
        <f>LEFT(#REF!,3)</f>
        <v>#REF!</v>
      </c>
    </row>
    <row r="478" spans="1:10" hidden="1" x14ac:dyDescent="0.25">
      <c r="A478" s="1">
        <v>44431</v>
      </c>
      <c r="B478" s="2" t="s">
        <v>16</v>
      </c>
      <c r="C478" s="2" t="s">
        <v>9</v>
      </c>
      <c r="D478">
        <v>50289.05</v>
      </c>
      <c r="E478">
        <v>50517.99</v>
      </c>
      <c r="F478">
        <v>48800</v>
      </c>
      <c r="G478">
        <v>49350</v>
      </c>
      <c r="H478">
        <v>1051.6600000000001</v>
      </c>
      <c r="I478" t="str">
        <f>TRIM(C478)</f>
        <v>BTCUSD</v>
      </c>
      <c r="J478" t="e">
        <f>LEFT(#REF!,3)</f>
        <v>#REF!</v>
      </c>
    </row>
    <row r="479" spans="1:10" hidden="1" x14ac:dyDescent="0.25">
      <c r="A479" s="1">
        <v>44330</v>
      </c>
      <c r="B479" s="2" t="s">
        <v>13</v>
      </c>
      <c r="C479" s="2" t="s">
        <v>9</v>
      </c>
      <c r="D479">
        <v>49221.07</v>
      </c>
      <c r="E479">
        <v>51575.16</v>
      </c>
      <c r="F479">
        <v>48894.79</v>
      </c>
      <c r="G479">
        <v>49670.85</v>
      </c>
      <c r="H479">
        <v>2001.31</v>
      </c>
      <c r="I479" t="str">
        <f>TRIM(C479)</f>
        <v>BTCUSD</v>
      </c>
      <c r="J479" t="e">
        <f>LEFT(#REF!,3)</f>
        <v>#REF!</v>
      </c>
    </row>
    <row r="480" spans="1:10" hidden="1" x14ac:dyDescent="0.25">
      <c r="A480" s="1">
        <v>44474</v>
      </c>
      <c r="B480" s="2" t="s">
        <v>18</v>
      </c>
      <c r="C480" s="2" t="s">
        <v>9</v>
      </c>
      <c r="D480">
        <v>49320.94</v>
      </c>
      <c r="E480">
        <v>51927.83</v>
      </c>
      <c r="F480">
        <v>49108.3</v>
      </c>
      <c r="G480">
        <v>51561.599999999999</v>
      </c>
      <c r="H480">
        <v>1691.52</v>
      </c>
      <c r="I480" t="str">
        <f>TRIM(C480)</f>
        <v>BTCUSD</v>
      </c>
      <c r="J480" t="e">
        <f>LEFT(#REF!,3)</f>
        <v>#REF!</v>
      </c>
    </row>
    <row r="481" spans="1:10" hidden="1" x14ac:dyDescent="0.25">
      <c r="A481" s="1">
        <v>44262</v>
      </c>
      <c r="B481" s="2" t="s">
        <v>11</v>
      </c>
      <c r="C481" s="2" t="s">
        <v>9</v>
      </c>
      <c r="D481">
        <v>49610.32</v>
      </c>
      <c r="E481">
        <v>51832.15</v>
      </c>
      <c r="F481">
        <v>49135.73</v>
      </c>
      <c r="G481">
        <v>50591.21</v>
      </c>
      <c r="H481">
        <v>1157.04</v>
      </c>
      <c r="I481" t="str">
        <f>TRIM(C481)</f>
        <v>BTCUSD</v>
      </c>
      <c r="J481" t="e">
        <f>LEFT(#REF!,3)</f>
        <v>#REF!</v>
      </c>
    </row>
    <row r="482" spans="1:10" hidden="1" x14ac:dyDescent="0.25">
      <c r="A482" s="1">
        <v>44244</v>
      </c>
      <c r="B482" s="2" t="s">
        <v>10</v>
      </c>
      <c r="C482" s="2" t="s">
        <v>9</v>
      </c>
      <c r="D482">
        <v>49649.93</v>
      </c>
      <c r="E482">
        <v>52668.45</v>
      </c>
      <c r="F482">
        <v>49164.23</v>
      </c>
      <c r="G482">
        <v>52068.01</v>
      </c>
      <c r="H482">
        <v>2858.2</v>
      </c>
      <c r="I482" t="str">
        <f>TRIM(C482)</f>
        <v>BTCUSD</v>
      </c>
      <c r="J482" t="e">
        <f>LEFT(#REF!,3)</f>
        <v>#REF!</v>
      </c>
    </row>
    <row r="483" spans="1:10" hidden="1" x14ac:dyDescent="0.25">
      <c r="A483" s="1">
        <v>44442</v>
      </c>
      <c r="B483" s="2" t="s">
        <v>17</v>
      </c>
      <c r="C483" s="2" t="s">
        <v>9</v>
      </c>
      <c r="D483">
        <v>49485</v>
      </c>
      <c r="E483">
        <v>51046.11</v>
      </c>
      <c r="F483">
        <v>49241.34</v>
      </c>
      <c r="G483">
        <v>50292.02</v>
      </c>
      <c r="H483">
        <v>1114.4000000000001</v>
      </c>
      <c r="I483" t="str">
        <f>TRIM(C483)</f>
        <v>BTCUSD</v>
      </c>
      <c r="J483" t="e">
        <f>LEFT(#REF!,3)</f>
        <v>#REF!</v>
      </c>
    </row>
    <row r="484" spans="1:10" hidden="1" x14ac:dyDescent="0.25">
      <c r="A484" s="1">
        <v>44263</v>
      </c>
      <c r="B484" s="2" t="s">
        <v>11</v>
      </c>
      <c r="C484" s="2" t="s">
        <v>9</v>
      </c>
      <c r="D484">
        <v>50591.21</v>
      </c>
      <c r="E484">
        <v>54126</v>
      </c>
      <c r="F484">
        <v>49300.01</v>
      </c>
      <c r="G484">
        <v>53931.34</v>
      </c>
      <c r="H484">
        <v>1880.72</v>
      </c>
      <c r="I484" t="str">
        <f>TRIM(C484)</f>
        <v>BTCUSD</v>
      </c>
      <c r="J484" t="e">
        <f>LEFT(#REF!,3)</f>
        <v>#REF!</v>
      </c>
    </row>
    <row r="485" spans="1:10" hidden="1" x14ac:dyDescent="0.25">
      <c r="A485" s="1">
        <v>44443</v>
      </c>
      <c r="B485" s="2" t="s">
        <v>17</v>
      </c>
      <c r="C485" s="2" t="s">
        <v>9</v>
      </c>
      <c r="D485">
        <v>50292.02</v>
      </c>
      <c r="E485">
        <v>50545.41</v>
      </c>
      <c r="F485">
        <v>49414.36</v>
      </c>
      <c r="G485">
        <v>49692.22</v>
      </c>
      <c r="H485">
        <v>1167.1500000000001</v>
      </c>
      <c r="I485" t="str">
        <f>TRIM(C485)</f>
        <v>BTCUSD</v>
      </c>
      <c r="J485" t="e">
        <f>LEFT(#REF!,3)</f>
        <v>#REF!</v>
      </c>
    </row>
    <row r="486" spans="1:10" hidden="1" x14ac:dyDescent="0.25">
      <c r="A486" s="1">
        <v>44556</v>
      </c>
      <c r="B486" s="2" t="s">
        <v>20</v>
      </c>
      <c r="C486" s="2" t="s">
        <v>9</v>
      </c>
      <c r="D486">
        <v>49705.21</v>
      </c>
      <c r="E486">
        <v>51294.26</v>
      </c>
      <c r="F486">
        <v>49460.66</v>
      </c>
      <c r="G486">
        <v>51036.12</v>
      </c>
      <c r="H486">
        <v>489.24</v>
      </c>
      <c r="I486" t="str">
        <f>TRIM(C486)</f>
        <v>BTCUSD</v>
      </c>
      <c r="J486" t="e">
        <f>LEFT(#REF!,3)</f>
        <v>#REF!</v>
      </c>
    </row>
    <row r="487" spans="1:10" hidden="1" x14ac:dyDescent="0.25">
      <c r="A487" s="1">
        <v>44444</v>
      </c>
      <c r="B487" s="2" t="s">
        <v>17</v>
      </c>
      <c r="C487" s="2" t="s">
        <v>9</v>
      </c>
      <c r="D487">
        <v>49692.22</v>
      </c>
      <c r="E487">
        <v>51962.68</v>
      </c>
      <c r="F487">
        <v>49505.43</v>
      </c>
      <c r="G487">
        <v>51638.18</v>
      </c>
      <c r="H487">
        <v>1231.1400000000001</v>
      </c>
      <c r="I487" t="str">
        <f>TRIM(C487)</f>
        <v>BTCUSD</v>
      </c>
      <c r="J487" t="e">
        <f>LEFT(#REF!,3)</f>
        <v>#REF!</v>
      </c>
    </row>
    <row r="488" spans="1:10" hidden="1" x14ac:dyDescent="0.25">
      <c r="A488" s="1">
        <v>44557</v>
      </c>
      <c r="B488" s="2" t="s">
        <v>20</v>
      </c>
      <c r="C488" s="2" t="s">
        <v>9</v>
      </c>
      <c r="D488">
        <v>51036.12</v>
      </c>
      <c r="E488">
        <v>52104.93</v>
      </c>
      <c r="F488">
        <v>49509.47</v>
      </c>
      <c r="G488">
        <v>49821.79</v>
      </c>
      <c r="H488">
        <v>896.04</v>
      </c>
      <c r="I488" t="str">
        <f>TRIM(C488)</f>
        <v>BTCUSD</v>
      </c>
      <c r="J488" t="e">
        <f>LEFT(#REF!,3)</f>
        <v>#REF!</v>
      </c>
    </row>
    <row r="489" spans="1:10" hidden="1" x14ac:dyDescent="0.25">
      <c r="A489" s="1">
        <v>44555</v>
      </c>
      <c r="B489" s="2" t="s">
        <v>20</v>
      </c>
      <c r="C489" s="2" t="s">
        <v>9</v>
      </c>
      <c r="D489">
        <v>50872.31</v>
      </c>
      <c r="E489">
        <v>51156.95</v>
      </c>
      <c r="F489">
        <v>49656.65</v>
      </c>
      <c r="G489">
        <v>49705.21</v>
      </c>
      <c r="H489">
        <v>400.67</v>
      </c>
      <c r="I489" t="str">
        <f>TRIM(C489)</f>
        <v>BTCUSD</v>
      </c>
      <c r="J489" t="e">
        <f>LEFT(#REF!,3)</f>
        <v>#REF!</v>
      </c>
    </row>
    <row r="490" spans="1:10" hidden="1" x14ac:dyDescent="0.25">
      <c r="A490" s="1">
        <v>44537</v>
      </c>
      <c r="B490" s="2" t="s">
        <v>20</v>
      </c>
      <c r="C490" s="2" t="s">
        <v>9</v>
      </c>
      <c r="D490">
        <v>51012.43</v>
      </c>
      <c r="E490">
        <v>51982.66</v>
      </c>
      <c r="F490">
        <v>50086</v>
      </c>
      <c r="G490">
        <v>50162.48</v>
      </c>
      <c r="H490">
        <v>1220.79</v>
      </c>
      <c r="I490" t="str">
        <f>TRIM(C490)</f>
        <v>BTCUSD</v>
      </c>
      <c r="J490" t="e">
        <f>LEFT(#REF!,3)</f>
        <v>#REF!</v>
      </c>
    </row>
    <row r="491" spans="1:10" hidden="1" x14ac:dyDescent="0.25">
      <c r="A491" s="1">
        <v>44280</v>
      </c>
      <c r="B491" s="2" t="s">
        <v>11</v>
      </c>
      <c r="C491" s="2" t="s">
        <v>9</v>
      </c>
      <c r="D491">
        <v>52152.85</v>
      </c>
      <c r="E491">
        <v>53234.52</v>
      </c>
      <c r="F491">
        <v>50387.01</v>
      </c>
      <c r="G491">
        <v>52450.8</v>
      </c>
      <c r="H491">
        <v>1736.99</v>
      </c>
      <c r="I491" t="str">
        <f>TRIM(C491)</f>
        <v>BTCUSD</v>
      </c>
      <c r="J491" t="e">
        <f>LEFT(#REF!,3)</f>
        <v>#REF!</v>
      </c>
    </row>
    <row r="492" spans="1:10" hidden="1" x14ac:dyDescent="0.25">
      <c r="A492" s="1">
        <v>44475</v>
      </c>
      <c r="B492" s="2" t="s">
        <v>18</v>
      </c>
      <c r="C492" s="2" t="s">
        <v>9</v>
      </c>
      <c r="D492">
        <v>51561.599999999999</v>
      </c>
      <c r="E492">
        <v>55800</v>
      </c>
      <c r="F492">
        <v>50410</v>
      </c>
      <c r="G492">
        <v>54838.9</v>
      </c>
      <c r="H492">
        <v>3288.23</v>
      </c>
      <c r="I492" t="str">
        <f>TRIM(C492)</f>
        <v>BTCUSD</v>
      </c>
      <c r="J492" t="e">
        <f>LEFT(#REF!,3)</f>
        <v>#REF!</v>
      </c>
    </row>
    <row r="493" spans="1:10" hidden="1" x14ac:dyDescent="0.25">
      <c r="A493" s="1">
        <v>44554</v>
      </c>
      <c r="B493" s="2" t="s">
        <v>20</v>
      </c>
      <c r="C493" s="2" t="s">
        <v>9</v>
      </c>
      <c r="D493">
        <v>51067.839999999997</v>
      </c>
      <c r="E493">
        <v>51866.86</v>
      </c>
      <c r="F493">
        <v>50461.08</v>
      </c>
      <c r="G493">
        <v>50872.31</v>
      </c>
      <c r="H493">
        <v>558.12</v>
      </c>
      <c r="I493" t="str">
        <f>TRIM(C493)</f>
        <v>BTCUSD</v>
      </c>
      <c r="J493" t="e">
        <f>LEFT(#REF!,3)</f>
        <v>#REF!</v>
      </c>
    </row>
    <row r="494" spans="1:10" hidden="1" x14ac:dyDescent="0.25">
      <c r="A494" s="1">
        <v>44245</v>
      </c>
      <c r="B494" s="2" t="s">
        <v>10</v>
      </c>
      <c r="C494" s="2" t="s">
        <v>9</v>
      </c>
      <c r="D494">
        <v>52068.01</v>
      </c>
      <c r="E494">
        <v>52344</v>
      </c>
      <c r="F494">
        <v>50500</v>
      </c>
      <c r="G494">
        <v>51241.23</v>
      </c>
      <c r="H494">
        <v>2002.6</v>
      </c>
      <c r="I494" t="str">
        <f>TRIM(C494)</f>
        <v>BTCUSD</v>
      </c>
      <c r="J494" t="e">
        <f>LEFT(#REF!,3)</f>
        <v>#REF!</v>
      </c>
    </row>
    <row r="495" spans="1:10" hidden="1" x14ac:dyDescent="0.25">
      <c r="A495" s="1">
        <v>44303</v>
      </c>
      <c r="B495" s="2" t="s">
        <v>12</v>
      </c>
      <c r="C495" s="2" t="s">
        <v>9</v>
      </c>
      <c r="D495">
        <v>62450</v>
      </c>
      <c r="E495">
        <v>62545.78</v>
      </c>
      <c r="F495">
        <v>50622.32</v>
      </c>
      <c r="G495">
        <v>55992.97</v>
      </c>
      <c r="H495">
        <v>2586.09</v>
      </c>
      <c r="I495" t="str">
        <f>TRIM(C495)</f>
        <v>BTCUSD</v>
      </c>
      <c r="J495" t="e">
        <f>LEFT(#REF!,3)</f>
        <v>#REF!</v>
      </c>
    </row>
    <row r="496" spans="1:10" hidden="1" x14ac:dyDescent="0.25">
      <c r="A496" s="1">
        <v>44246</v>
      </c>
      <c r="B496" s="2" t="s">
        <v>10</v>
      </c>
      <c r="C496" s="2" t="s">
        <v>9</v>
      </c>
      <c r="D496">
        <v>51241.23</v>
      </c>
      <c r="E496">
        <v>56605.599999999999</v>
      </c>
      <c r="F496">
        <v>50906</v>
      </c>
      <c r="G496">
        <v>55761.1</v>
      </c>
      <c r="H496">
        <v>3143.93</v>
      </c>
      <c r="I496" t="str">
        <f>TRIM(C496)</f>
        <v>BTCUSD</v>
      </c>
      <c r="J496" t="e">
        <f>LEFT(#REF!,3)</f>
        <v>#REF!</v>
      </c>
    </row>
    <row r="497" spans="1:10" hidden="1" x14ac:dyDescent="0.25">
      <c r="A497" s="1">
        <v>44445</v>
      </c>
      <c r="B497" s="2" t="s">
        <v>17</v>
      </c>
      <c r="C497" s="2" t="s">
        <v>9</v>
      </c>
      <c r="D497">
        <v>51638.18</v>
      </c>
      <c r="E497">
        <v>52938.78</v>
      </c>
      <c r="F497">
        <v>51003.37</v>
      </c>
      <c r="G497">
        <v>52663.45</v>
      </c>
      <c r="H497">
        <v>1408.74</v>
      </c>
      <c r="I497" t="str">
        <f>TRIM(C497)</f>
        <v>BTCUSD</v>
      </c>
      <c r="J497" t="e">
        <f>LEFT(#REF!,3)</f>
        <v>#REF!</v>
      </c>
    </row>
    <row r="498" spans="1:10" hidden="1" x14ac:dyDescent="0.25">
      <c r="A498" s="1">
        <v>44279</v>
      </c>
      <c r="B498" s="2" t="s">
        <v>11</v>
      </c>
      <c r="C498" s="2" t="s">
        <v>9</v>
      </c>
      <c r="D498">
        <v>54375.12</v>
      </c>
      <c r="E498">
        <v>57245</v>
      </c>
      <c r="F498">
        <v>51533.89</v>
      </c>
      <c r="G498">
        <v>52152.85</v>
      </c>
      <c r="H498">
        <v>2556.02</v>
      </c>
      <c r="I498" t="str">
        <f>TRIM(C498)</f>
        <v>BTCUSD</v>
      </c>
      <c r="J498" t="e">
        <f>LEFT(#REF!,3)</f>
        <v>#REF!</v>
      </c>
    </row>
    <row r="499" spans="1:10" hidden="1" x14ac:dyDescent="0.25">
      <c r="A499" s="1">
        <v>44533</v>
      </c>
      <c r="B499" s="2" t="s">
        <v>20</v>
      </c>
      <c r="C499" s="2" t="s">
        <v>9</v>
      </c>
      <c r="D499">
        <v>56380.25</v>
      </c>
      <c r="E499">
        <v>57673.58</v>
      </c>
      <c r="F499">
        <v>51619.3</v>
      </c>
      <c r="G499">
        <v>52055.9</v>
      </c>
      <c r="H499">
        <v>1784.77</v>
      </c>
      <c r="I499" t="str">
        <f>TRIM(C499)</f>
        <v>BTCUSD</v>
      </c>
      <c r="J499" t="e">
        <f>LEFT(#REF!,3)</f>
        <v>#REF!</v>
      </c>
    </row>
    <row r="500" spans="1:10" hidden="1" x14ac:dyDescent="0.25">
      <c r="A500" s="1">
        <v>44312</v>
      </c>
      <c r="B500" s="2" t="s">
        <v>12</v>
      </c>
      <c r="C500" s="2" t="s">
        <v>9</v>
      </c>
      <c r="D500">
        <v>52435.9</v>
      </c>
      <c r="E500">
        <v>54419.57</v>
      </c>
      <c r="F500">
        <v>52096.87</v>
      </c>
      <c r="G500">
        <v>53531.94</v>
      </c>
      <c r="H500">
        <v>1804.88</v>
      </c>
      <c r="I500" t="str">
        <f>TRIM(C500)</f>
        <v>BTCUSD</v>
      </c>
      <c r="J500" t="e">
        <f>LEFT(#REF!,3)</f>
        <v>#REF!</v>
      </c>
    </row>
    <row r="501" spans="1:10" hidden="1" x14ac:dyDescent="0.25">
      <c r="A501" s="1">
        <v>44281</v>
      </c>
      <c r="B501" s="2" t="s">
        <v>11</v>
      </c>
      <c r="C501" s="2" t="s">
        <v>9</v>
      </c>
      <c r="D501">
        <v>52450.8</v>
      </c>
      <c r="E501">
        <v>55627.21</v>
      </c>
      <c r="F501">
        <v>52205.36</v>
      </c>
      <c r="G501">
        <v>54804.02</v>
      </c>
      <c r="H501">
        <v>1655.31</v>
      </c>
      <c r="I501" t="str">
        <f>TRIM(C501)</f>
        <v>BTCUSD</v>
      </c>
      <c r="J501" t="e">
        <f>LEFT(#REF!,3)</f>
        <v>#REF!</v>
      </c>
    </row>
    <row r="502" spans="1:10" hidden="1" x14ac:dyDescent="0.25">
      <c r="A502" s="1">
        <v>44315</v>
      </c>
      <c r="B502" s="2" t="s">
        <v>12</v>
      </c>
      <c r="C502" s="2" t="s">
        <v>9</v>
      </c>
      <c r="D502">
        <v>54312.41</v>
      </c>
      <c r="E502">
        <v>54755.360000000001</v>
      </c>
      <c r="F502">
        <v>52389.42</v>
      </c>
      <c r="G502">
        <v>53750.01</v>
      </c>
      <c r="H502">
        <v>1561.01</v>
      </c>
      <c r="I502" t="str">
        <f>TRIM(C502)</f>
        <v>BTCUSD</v>
      </c>
      <c r="J502" t="e">
        <f>LEFT(#REF!,3)</f>
        <v>#REF!</v>
      </c>
    </row>
    <row r="503" spans="1:10" hidden="1" x14ac:dyDescent="0.25">
      <c r="A503" s="1">
        <v>44307</v>
      </c>
      <c r="B503" s="2" t="s">
        <v>12</v>
      </c>
      <c r="C503" s="2" t="s">
        <v>9</v>
      </c>
      <c r="D503">
        <v>55255.57</v>
      </c>
      <c r="E503">
        <v>56373</v>
      </c>
      <c r="F503">
        <v>52600</v>
      </c>
      <c r="G503">
        <v>53508.08</v>
      </c>
      <c r="H503">
        <v>2243.11</v>
      </c>
      <c r="I503" t="str">
        <f>TRIM(C503)</f>
        <v>BTCUSD</v>
      </c>
      <c r="J503" t="e">
        <f>LEFT(#REF!,3)</f>
        <v>#REF!</v>
      </c>
    </row>
    <row r="504" spans="1:10" hidden="1" x14ac:dyDescent="0.25">
      <c r="A504" s="1">
        <v>44320</v>
      </c>
      <c r="B504" s="2" t="s">
        <v>13</v>
      </c>
      <c r="C504" s="2" t="s">
        <v>9</v>
      </c>
      <c r="D504">
        <v>55511.37</v>
      </c>
      <c r="E504">
        <v>56659.5</v>
      </c>
      <c r="F504">
        <v>52947.09</v>
      </c>
      <c r="G504">
        <v>54832.2</v>
      </c>
      <c r="H504">
        <v>2880.08</v>
      </c>
      <c r="I504" t="str">
        <f>TRIM(C504)</f>
        <v>BTCUSD</v>
      </c>
      <c r="J504" t="e">
        <f>LEFT(#REF!,3)</f>
        <v>#REF!</v>
      </c>
    </row>
    <row r="505" spans="1:10" hidden="1" x14ac:dyDescent="0.25">
      <c r="A505" s="1">
        <v>44278</v>
      </c>
      <c r="B505" s="2" t="s">
        <v>11</v>
      </c>
      <c r="C505" s="2" t="s">
        <v>9</v>
      </c>
      <c r="D505">
        <v>54710.81</v>
      </c>
      <c r="E505">
        <v>55903.62</v>
      </c>
      <c r="F505">
        <v>53000</v>
      </c>
      <c r="G505">
        <v>54375.12</v>
      </c>
      <c r="H505">
        <v>1916.14</v>
      </c>
      <c r="I505" t="str">
        <f>TRIM(C505)</f>
        <v>BTCUSD</v>
      </c>
      <c r="J505" t="e">
        <f>LEFT(#REF!,3)</f>
        <v>#REF!</v>
      </c>
    </row>
    <row r="506" spans="1:10" hidden="1" x14ac:dyDescent="0.25">
      <c r="A506" s="1">
        <v>44265</v>
      </c>
      <c r="B506" s="2" t="s">
        <v>11</v>
      </c>
      <c r="C506" s="2" t="s">
        <v>9</v>
      </c>
      <c r="D506">
        <v>53466.19</v>
      </c>
      <c r="E506">
        <v>57400</v>
      </c>
      <c r="F506">
        <v>53049</v>
      </c>
      <c r="G506">
        <v>55971.68</v>
      </c>
      <c r="H506">
        <v>2062.29</v>
      </c>
      <c r="I506" t="str">
        <f>TRIM(C506)</f>
        <v>BTCUSD</v>
      </c>
      <c r="J506" t="e">
        <f>LEFT(#REF!,3)</f>
        <v>#REF!</v>
      </c>
    </row>
    <row r="507" spans="1:10" hidden="1" x14ac:dyDescent="0.25">
      <c r="A507" s="1">
        <v>44264</v>
      </c>
      <c r="B507" s="2" t="s">
        <v>11</v>
      </c>
      <c r="C507" s="2" t="s">
        <v>9</v>
      </c>
      <c r="D507">
        <v>53931.34</v>
      </c>
      <c r="E507">
        <v>55847.68</v>
      </c>
      <c r="F507">
        <v>53140.76</v>
      </c>
      <c r="G507">
        <v>53466.19</v>
      </c>
      <c r="H507">
        <v>1933.15</v>
      </c>
      <c r="I507" t="str">
        <f>TRIM(C507)</f>
        <v>BTCUSD</v>
      </c>
      <c r="J507" t="e">
        <f>LEFT(#REF!,3)</f>
        <v>#REF!</v>
      </c>
    </row>
    <row r="508" spans="1:10" hidden="1" x14ac:dyDescent="0.25">
      <c r="A508" s="1">
        <v>44321</v>
      </c>
      <c r="B508" s="2" t="s">
        <v>13</v>
      </c>
      <c r="C508" s="2" t="s">
        <v>9</v>
      </c>
      <c r="D508">
        <v>54832.2</v>
      </c>
      <c r="E508">
        <v>57974.07</v>
      </c>
      <c r="F508">
        <v>53158.68</v>
      </c>
      <c r="G508">
        <v>56900.44</v>
      </c>
      <c r="H508">
        <v>2430.66</v>
      </c>
      <c r="I508" t="str">
        <f>TRIM(C508)</f>
        <v>BTCUSD</v>
      </c>
      <c r="J508" t="e">
        <f>LEFT(#REF!,3)</f>
        <v>#REF!</v>
      </c>
    </row>
    <row r="509" spans="1:10" hidden="1" x14ac:dyDescent="0.25">
      <c r="A509" s="1">
        <v>44304</v>
      </c>
      <c r="B509" s="2" t="s">
        <v>12</v>
      </c>
      <c r="C509" s="2" t="s">
        <v>9</v>
      </c>
      <c r="D509">
        <v>55992.97</v>
      </c>
      <c r="E509">
        <v>57404.04</v>
      </c>
      <c r="F509">
        <v>53176.36</v>
      </c>
      <c r="G509">
        <v>57175.61</v>
      </c>
      <c r="H509">
        <v>3720.3</v>
      </c>
      <c r="I509" t="str">
        <f>TRIM(C509)</f>
        <v>BTCUSD</v>
      </c>
      <c r="J509" t="e">
        <f>LEFT(#REF!,3)</f>
        <v>#REF!</v>
      </c>
    </row>
    <row r="510" spans="1:10" hidden="1" x14ac:dyDescent="0.25">
      <c r="A510" s="1">
        <v>44270</v>
      </c>
      <c r="B510" s="2" t="s">
        <v>11</v>
      </c>
      <c r="C510" s="2" t="s">
        <v>9</v>
      </c>
      <c r="D510">
        <v>60362.18</v>
      </c>
      <c r="E510">
        <v>60561.59</v>
      </c>
      <c r="F510">
        <v>53238.69</v>
      </c>
      <c r="G510">
        <v>54255.040000000001</v>
      </c>
      <c r="H510">
        <v>3453.09</v>
      </c>
      <c r="I510" t="str">
        <f>TRIM(C510)</f>
        <v>BTCUSD</v>
      </c>
      <c r="J510" t="e">
        <f>LEFT(#REF!,3)</f>
        <v>#REF!</v>
      </c>
    </row>
    <row r="511" spans="1:10" hidden="1" x14ac:dyDescent="0.25">
      <c r="A511" s="1">
        <v>44528</v>
      </c>
      <c r="B511" s="2" t="s">
        <v>19</v>
      </c>
      <c r="C511" s="2" t="s">
        <v>9</v>
      </c>
      <c r="D511">
        <v>54161.85</v>
      </c>
      <c r="E511">
        <v>58265.2</v>
      </c>
      <c r="F511">
        <v>53333.33</v>
      </c>
      <c r="G511">
        <v>57400.61</v>
      </c>
      <c r="H511">
        <v>790.75</v>
      </c>
      <c r="I511" t="str">
        <f>TRIM(C511)</f>
        <v>BTCUSD</v>
      </c>
      <c r="J511" t="e">
        <f>LEFT(#REF!,3)</f>
        <v>#REF!</v>
      </c>
    </row>
    <row r="512" spans="1:10" hidden="1" x14ac:dyDescent="0.25">
      <c r="A512" s="1">
        <v>44313</v>
      </c>
      <c r="B512" s="2" t="s">
        <v>12</v>
      </c>
      <c r="C512" s="2" t="s">
        <v>9</v>
      </c>
      <c r="D512">
        <v>53531.94</v>
      </c>
      <c r="E512">
        <v>55800</v>
      </c>
      <c r="F512">
        <v>53345.62</v>
      </c>
      <c r="G512">
        <v>54883.25</v>
      </c>
      <c r="H512">
        <v>1508.58</v>
      </c>
      <c r="I512" t="str">
        <f>TRIM(C512)</f>
        <v>BTCUSD</v>
      </c>
      <c r="J512" t="e">
        <f>LEFT(#REF!,3)</f>
        <v>#REF!</v>
      </c>
    </row>
    <row r="513" spans="1:10" hidden="1" x14ac:dyDescent="0.25">
      <c r="A513" s="1">
        <v>44476</v>
      </c>
      <c r="B513" s="2" t="s">
        <v>18</v>
      </c>
      <c r="C513" s="2" t="s">
        <v>9</v>
      </c>
      <c r="D513">
        <v>54838.9</v>
      </c>
      <c r="E513">
        <v>55231.53</v>
      </c>
      <c r="F513">
        <v>53366</v>
      </c>
      <c r="G513">
        <v>53826.69</v>
      </c>
      <c r="H513">
        <v>1338.83</v>
      </c>
      <c r="I513" t="str">
        <f>TRIM(C513)</f>
        <v>BTCUSD</v>
      </c>
      <c r="J513" t="e">
        <f>LEFT(#REF!,3)</f>
        <v>#REF!</v>
      </c>
    </row>
    <row r="514" spans="1:10" hidden="1" x14ac:dyDescent="0.25">
      <c r="A514" s="1">
        <v>44306</v>
      </c>
      <c r="B514" s="2" t="s">
        <v>12</v>
      </c>
      <c r="C514" s="2" t="s">
        <v>9</v>
      </c>
      <c r="D514">
        <v>54586.65</v>
      </c>
      <c r="E514">
        <v>57145.34</v>
      </c>
      <c r="F514">
        <v>53416.76</v>
      </c>
      <c r="G514">
        <v>55255.57</v>
      </c>
      <c r="H514">
        <v>2353.91</v>
      </c>
      <c r="I514" t="str">
        <f>TRIM(C514)</f>
        <v>BTCUSD</v>
      </c>
      <c r="J514" t="e">
        <f>LEFT(#REF!,3)</f>
        <v>#REF!</v>
      </c>
    </row>
    <row r="515" spans="1:10" hidden="1" x14ac:dyDescent="0.25">
      <c r="A515" s="1">
        <v>44326</v>
      </c>
      <c r="B515" s="2" t="s">
        <v>13</v>
      </c>
      <c r="C515" s="2" t="s">
        <v>9</v>
      </c>
      <c r="D515">
        <v>59407.78</v>
      </c>
      <c r="E515">
        <v>59584.99</v>
      </c>
      <c r="F515">
        <v>53434.31</v>
      </c>
      <c r="G515">
        <v>55194.75</v>
      </c>
      <c r="H515">
        <v>2583.42</v>
      </c>
      <c r="I515" t="str">
        <f>TRIM(C515)</f>
        <v>BTCUSD</v>
      </c>
      <c r="J515" t="e">
        <f>LEFT(#REF!,3)</f>
        <v>#REF!</v>
      </c>
    </row>
    <row r="516" spans="1:10" hidden="1" x14ac:dyDescent="0.25">
      <c r="A516" s="1">
        <v>44526</v>
      </c>
      <c r="B516" s="2" t="s">
        <v>19</v>
      </c>
      <c r="C516" s="2" t="s">
        <v>9</v>
      </c>
      <c r="D516">
        <v>57952.35</v>
      </c>
      <c r="E516">
        <v>58043.76</v>
      </c>
      <c r="F516">
        <v>53529</v>
      </c>
      <c r="G516">
        <v>54409.03</v>
      </c>
      <c r="H516">
        <v>2804.1</v>
      </c>
      <c r="I516" t="str">
        <f>TRIM(C516)</f>
        <v>BTCUSD</v>
      </c>
      <c r="J516" t="e">
        <f>LEFT(#REF!,3)</f>
        <v>#REF!</v>
      </c>
    </row>
    <row r="517" spans="1:10" hidden="1" x14ac:dyDescent="0.25">
      <c r="A517" s="1">
        <v>44271</v>
      </c>
      <c r="B517" s="2" t="s">
        <v>11</v>
      </c>
      <c r="C517" s="2" t="s">
        <v>9</v>
      </c>
      <c r="D517">
        <v>54255.040000000001</v>
      </c>
      <c r="E517">
        <v>57185.78</v>
      </c>
      <c r="F517">
        <v>53589</v>
      </c>
      <c r="G517">
        <v>55548.73</v>
      </c>
      <c r="H517">
        <v>1350.97</v>
      </c>
      <c r="I517" t="str">
        <f>TRIM(C517)</f>
        <v>BTCUSD</v>
      </c>
      <c r="J517" t="e">
        <f>LEFT(#REF!,3)</f>
        <v>#REF!</v>
      </c>
    </row>
    <row r="518" spans="1:10" hidden="1" x14ac:dyDescent="0.25">
      <c r="A518" s="1">
        <v>44305</v>
      </c>
      <c r="B518" s="2" t="s">
        <v>12</v>
      </c>
      <c r="C518" s="2" t="s">
        <v>9</v>
      </c>
      <c r="D518">
        <v>57175.61</v>
      </c>
      <c r="E518">
        <v>57624.66</v>
      </c>
      <c r="F518">
        <v>53606.41</v>
      </c>
      <c r="G518">
        <v>54586.65</v>
      </c>
      <c r="H518">
        <v>2832.89</v>
      </c>
      <c r="I518" t="str">
        <f>TRIM(C518)</f>
        <v>BTCUSD</v>
      </c>
      <c r="J518" t="e">
        <f>LEFT(#REF!,3)</f>
        <v>#REF!</v>
      </c>
    </row>
    <row r="519" spans="1:10" hidden="1" x14ac:dyDescent="0.25">
      <c r="A519" s="1">
        <v>44477</v>
      </c>
      <c r="B519" s="2" t="s">
        <v>18</v>
      </c>
      <c r="C519" s="2" t="s">
        <v>9</v>
      </c>
      <c r="D519">
        <v>53826.69</v>
      </c>
      <c r="E519">
        <v>56150.58</v>
      </c>
      <c r="F519">
        <v>53655</v>
      </c>
      <c r="G519">
        <v>54588</v>
      </c>
      <c r="H519">
        <v>1485.78</v>
      </c>
      <c r="I519" t="str">
        <f>TRIM(C519)</f>
        <v>BTCUSD</v>
      </c>
      <c r="J519" t="e">
        <f>LEFT(#REF!,3)</f>
        <v>#REF!</v>
      </c>
    </row>
    <row r="520" spans="1:10" hidden="1" x14ac:dyDescent="0.25">
      <c r="A520" s="1">
        <v>44277</v>
      </c>
      <c r="B520" s="2" t="s">
        <v>11</v>
      </c>
      <c r="C520" s="2" t="s">
        <v>9</v>
      </c>
      <c r="D520">
        <v>57551.47</v>
      </c>
      <c r="E520">
        <v>58445.36</v>
      </c>
      <c r="F520">
        <v>53733.67</v>
      </c>
      <c r="G520">
        <v>54710.81</v>
      </c>
      <c r="H520">
        <v>1771.2</v>
      </c>
      <c r="I520" t="str">
        <f>TRIM(C520)</f>
        <v>BTCUSD</v>
      </c>
      <c r="J520" t="e">
        <f>LEFT(#REF!,3)</f>
        <v>#REF!</v>
      </c>
    </row>
    <row r="521" spans="1:10" hidden="1" x14ac:dyDescent="0.25">
      <c r="A521" s="1">
        <v>44527</v>
      </c>
      <c r="B521" s="2" t="s">
        <v>19</v>
      </c>
      <c r="C521" s="2" t="s">
        <v>9</v>
      </c>
      <c r="D521">
        <v>54409.03</v>
      </c>
      <c r="E521">
        <v>55320.800000000003</v>
      </c>
      <c r="F521">
        <v>53739.8</v>
      </c>
      <c r="G521">
        <v>54161.85</v>
      </c>
      <c r="H521">
        <v>556.51</v>
      </c>
      <c r="I521" t="str">
        <f>TRIM(C521)</f>
        <v>BTCUSD</v>
      </c>
      <c r="J521" t="e">
        <f>LEFT(#REF!,3)</f>
        <v>#REF!</v>
      </c>
    </row>
    <row r="522" spans="1:10" hidden="1" x14ac:dyDescent="0.25">
      <c r="A522" s="1">
        <v>44316</v>
      </c>
      <c r="B522" s="2" t="s">
        <v>12</v>
      </c>
      <c r="C522" s="2" t="s">
        <v>9</v>
      </c>
      <c r="D522">
        <v>53750.01</v>
      </c>
      <c r="E522">
        <v>58553.71</v>
      </c>
      <c r="F522">
        <v>53750.01</v>
      </c>
      <c r="G522">
        <v>58272.25</v>
      </c>
      <c r="H522">
        <v>1869.51</v>
      </c>
      <c r="I522" t="str">
        <f>TRIM(C522)</f>
        <v>BTCUSD</v>
      </c>
      <c r="J522" t="e">
        <f>LEFT(#REF!,3)</f>
        <v>#REF!</v>
      </c>
    </row>
    <row r="523" spans="1:10" hidden="1" x14ac:dyDescent="0.25">
      <c r="A523" s="1">
        <v>44518</v>
      </c>
      <c r="B523" s="2" t="s">
        <v>19</v>
      </c>
      <c r="C523" s="2" t="s">
        <v>9</v>
      </c>
      <c r="D523">
        <v>59885.21</v>
      </c>
      <c r="E523">
        <v>60106.3</v>
      </c>
      <c r="F523">
        <v>53760</v>
      </c>
      <c r="G523">
        <v>55911.16</v>
      </c>
      <c r="H523">
        <v>3999.42</v>
      </c>
      <c r="I523" t="str">
        <f>TRIM(C523)</f>
        <v>BTCUSD</v>
      </c>
      <c r="J523" t="e">
        <f>LEFT(#REF!,3)</f>
        <v>#REF!</v>
      </c>
    </row>
    <row r="524" spans="1:10" hidden="1" x14ac:dyDescent="0.25">
      <c r="A524" s="1">
        <v>44314</v>
      </c>
      <c r="B524" s="2" t="s">
        <v>12</v>
      </c>
      <c r="C524" s="2" t="s">
        <v>9</v>
      </c>
      <c r="D524">
        <v>54883.25</v>
      </c>
      <c r="E524">
        <v>56474.720000000001</v>
      </c>
      <c r="F524">
        <v>53861.120000000003</v>
      </c>
      <c r="G524">
        <v>54312.41</v>
      </c>
      <c r="H524">
        <v>1628.45</v>
      </c>
      <c r="I524" t="str">
        <f>TRIM(C524)</f>
        <v>BTCUSD</v>
      </c>
      <c r="J524" t="e">
        <f>LEFT(#REF!,3)</f>
        <v>#REF!</v>
      </c>
    </row>
    <row r="525" spans="1:10" hidden="1" x14ac:dyDescent="0.25">
      <c r="A525" s="1">
        <v>44481</v>
      </c>
      <c r="B525" s="2" t="s">
        <v>18</v>
      </c>
      <c r="C525" s="2" t="s">
        <v>9</v>
      </c>
      <c r="D525">
        <v>56710</v>
      </c>
      <c r="E525">
        <v>57688.88</v>
      </c>
      <c r="F525">
        <v>53911.79</v>
      </c>
      <c r="G525">
        <v>56289.06</v>
      </c>
      <c r="H525">
        <v>1713.92</v>
      </c>
      <c r="I525" t="str">
        <f>TRIM(C525)</f>
        <v>BTCUSD</v>
      </c>
      <c r="J525" t="e">
        <f>LEFT(#REF!,3)</f>
        <v>#REF!</v>
      </c>
    </row>
    <row r="526" spans="1:10" hidden="1" x14ac:dyDescent="0.25">
      <c r="A526" s="1">
        <v>44282</v>
      </c>
      <c r="B526" s="2" t="s">
        <v>11</v>
      </c>
      <c r="C526" s="2" t="s">
        <v>9</v>
      </c>
      <c r="D526">
        <v>54804.02</v>
      </c>
      <c r="E526">
        <v>56624.33</v>
      </c>
      <c r="F526">
        <v>53990</v>
      </c>
      <c r="G526">
        <v>56094.03</v>
      </c>
      <c r="H526">
        <v>730.37</v>
      </c>
      <c r="I526" t="str">
        <f>TRIM(C526)</f>
        <v>BTCUSD</v>
      </c>
      <c r="J526" t="e">
        <f>LEFT(#REF!,3)</f>
        <v>#REF!</v>
      </c>
    </row>
    <row r="527" spans="1:10" hidden="1" x14ac:dyDescent="0.25">
      <c r="A527" s="1">
        <v>44247</v>
      </c>
      <c r="B527" s="2" t="s">
        <v>10</v>
      </c>
      <c r="C527" s="2" t="s">
        <v>9</v>
      </c>
      <c r="D527">
        <v>55761.1</v>
      </c>
      <c r="E527">
        <v>57500</v>
      </c>
      <c r="F527">
        <v>54000</v>
      </c>
      <c r="G527">
        <v>56541.2</v>
      </c>
      <c r="H527">
        <v>1349.19</v>
      </c>
      <c r="I527" t="str">
        <f>TRIM(C527)</f>
        <v>BTCUSD</v>
      </c>
      <c r="J527" t="e">
        <f>LEFT(#REF!,3)</f>
        <v>#REF!</v>
      </c>
    </row>
    <row r="528" spans="1:10" hidden="1" x14ac:dyDescent="0.25">
      <c r="A528" s="1">
        <v>44478</v>
      </c>
      <c r="B528" s="2" t="s">
        <v>18</v>
      </c>
      <c r="C528" s="2" t="s">
        <v>9</v>
      </c>
      <c r="D528">
        <v>54588</v>
      </c>
      <c r="E528">
        <v>55486.87</v>
      </c>
      <c r="F528">
        <v>54115.27</v>
      </c>
      <c r="G528">
        <v>55043.76</v>
      </c>
      <c r="H528">
        <v>707.72</v>
      </c>
      <c r="I528" t="str">
        <f>TRIM(C528)</f>
        <v>BTCUSD</v>
      </c>
      <c r="J528" t="e">
        <f>LEFT(#REF!,3)</f>
        <v>#REF!</v>
      </c>
    </row>
    <row r="529" spans="1:10" hidden="1" x14ac:dyDescent="0.25">
      <c r="A529" s="1">
        <v>44272</v>
      </c>
      <c r="B529" s="2" t="s">
        <v>11</v>
      </c>
      <c r="C529" s="2" t="s">
        <v>9</v>
      </c>
      <c r="D529">
        <v>55548.73</v>
      </c>
      <c r="E529">
        <v>59567.59</v>
      </c>
      <c r="F529">
        <v>54144.95</v>
      </c>
      <c r="G529">
        <v>58687.360000000001</v>
      </c>
      <c r="H529">
        <v>1950.94</v>
      </c>
      <c r="I529" t="str">
        <f>TRIM(C529)</f>
        <v>BTCUSD</v>
      </c>
      <c r="J529" t="e">
        <f>LEFT(#REF!,3)</f>
        <v>#REF!</v>
      </c>
    </row>
    <row r="530" spans="1:10" hidden="1" x14ac:dyDescent="0.25">
      <c r="A530" s="1">
        <v>44482</v>
      </c>
      <c r="B530" s="2" t="s">
        <v>18</v>
      </c>
      <c r="C530" s="2" t="s">
        <v>9</v>
      </c>
      <c r="D530">
        <v>56289.06</v>
      </c>
      <c r="E530">
        <v>58500.02</v>
      </c>
      <c r="F530">
        <v>54250</v>
      </c>
      <c r="G530">
        <v>58073.82</v>
      </c>
      <c r="H530">
        <v>1574.7</v>
      </c>
      <c r="I530" t="str">
        <f>TRIM(C530)</f>
        <v>BTCUSD</v>
      </c>
      <c r="J530" t="e">
        <f>LEFT(#REF!,3)</f>
        <v>#REF!</v>
      </c>
    </row>
    <row r="531" spans="1:10" hidden="1" x14ac:dyDescent="0.25">
      <c r="A531" s="1">
        <v>44266</v>
      </c>
      <c r="B531" s="2" t="s">
        <v>11</v>
      </c>
      <c r="C531" s="2" t="s">
        <v>9</v>
      </c>
      <c r="D531">
        <v>55971.68</v>
      </c>
      <c r="E531">
        <v>58120</v>
      </c>
      <c r="F531">
        <v>54281.74</v>
      </c>
      <c r="G531">
        <v>57111.63</v>
      </c>
      <c r="H531">
        <v>1776.09</v>
      </c>
      <c r="I531" t="str">
        <f>TRIM(C531)</f>
        <v>BTCUSD</v>
      </c>
      <c r="J531" t="e">
        <f>LEFT(#REF!,3)</f>
        <v>#REF!</v>
      </c>
    </row>
    <row r="532" spans="1:10" hidden="1" x14ac:dyDescent="0.25">
      <c r="A532" s="1">
        <v>44479</v>
      </c>
      <c r="B532" s="2" t="s">
        <v>18</v>
      </c>
      <c r="C532" s="2" t="s">
        <v>9</v>
      </c>
      <c r="D532">
        <v>55043.76</v>
      </c>
      <c r="E532">
        <v>56759.01</v>
      </c>
      <c r="F532">
        <v>54376.52</v>
      </c>
      <c r="G532">
        <v>56520.58</v>
      </c>
      <c r="H532">
        <v>1166.24</v>
      </c>
      <c r="I532" t="str">
        <f>TRIM(C532)</f>
        <v>BTCUSD</v>
      </c>
      <c r="J532" t="e">
        <f>LEFT(#REF!,3)</f>
        <v>#REF!</v>
      </c>
    </row>
    <row r="533" spans="1:10" hidden="1" x14ac:dyDescent="0.25">
      <c r="A533" s="1">
        <v>44319</v>
      </c>
      <c r="B533" s="2" t="s">
        <v>13</v>
      </c>
      <c r="C533" s="2" t="s">
        <v>9</v>
      </c>
      <c r="D533">
        <v>57970.74</v>
      </c>
      <c r="E533">
        <v>58988.52</v>
      </c>
      <c r="F533">
        <v>54654.65</v>
      </c>
      <c r="G533">
        <v>55511.37</v>
      </c>
      <c r="H533">
        <v>2363.15</v>
      </c>
      <c r="I533" t="str">
        <f>TRIM(C533)</f>
        <v>BTCUSD</v>
      </c>
      <c r="J533" t="e">
        <f>LEFT(#REF!,3)</f>
        <v>#REF!</v>
      </c>
    </row>
    <row r="534" spans="1:10" hidden="1" x14ac:dyDescent="0.25">
      <c r="A534" s="1">
        <v>44327</v>
      </c>
      <c r="B534" s="2" t="s">
        <v>13</v>
      </c>
      <c r="C534" s="2" t="s">
        <v>9</v>
      </c>
      <c r="D534">
        <v>55194.75</v>
      </c>
      <c r="E534">
        <v>57898</v>
      </c>
      <c r="F534">
        <v>54684</v>
      </c>
      <c r="G534">
        <v>57820</v>
      </c>
      <c r="H534">
        <v>1432.56</v>
      </c>
      <c r="I534" t="str">
        <f>TRIM(C534)</f>
        <v>BTCUSD</v>
      </c>
      <c r="J534" t="e">
        <f>LEFT(#REF!,3)</f>
        <v>#REF!</v>
      </c>
    </row>
    <row r="535" spans="1:10" hidden="1" x14ac:dyDescent="0.25">
      <c r="A535" s="1">
        <v>44283</v>
      </c>
      <c r="B535" s="2" t="s">
        <v>11</v>
      </c>
      <c r="C535" s="2" t="s">
        <v>9</v>
      </c>
      <c r="D535">
        <v>56094.03</v>
      </c>
      <c r="E535">
        <v>56576.23</v>
      </c>
      <c r="F535">
        <v>54711.01</v>
      </c>
      <c r="G535">
        <v>55351</v>
      </c>
      <c r="H535">
        <v>453.44</v>
      </c>
      <c r="I535" t="str">
        <f>TRIM(C535)</f>
        <v>BTCUSD</v>
      </c>
      <c r="J535" t="e">
        <f>LEFT(#REF!,3)</f>
        <v>#REF!</v>
      </c>
    </row>
    <row r="536" spans="1:10" hidden="1" x14ac:dyDescent="0.25">
      <c r="A536" s="1">
        <v>44284</v>
      </c>
      <c r="B536" s="2" t="s">
        <v>11</v>
      </c>
      <c r="C536" s="2" t="s">
        <v>9</v>
      </c>
      <c r="D536">
        <v>55351</v>
      </c>
      <c r="E536">
        <v>58430.77</v>
      </c>
      <c r="F536">
        <v>54889.09</v>
      </c>
      <c r="G536">
        <v>57155.81</v>
      </c>
      <c r="H536">
        <v>2020.26</v>
      </c>
      <c r="I536" t="str">
        <f>TRIM(C536)</f>
        <v>BTCUSD</v>
      </c>
      <c r="J536" t="e">
        <f>LEFT(#REF!,3)</f>
        <v>#REF!</v>
      </c>
    </row>
    <row r="537" spans="1:10" hidden="1" x14ac:dyDescent="0.25">
      <c r="A537" s="1">
        <v>44267</v>
      </c>
      <c r="B537" s="2" t="s">
        <v>11</v>
      </c>
      <c r="C537" s="2" t="s">
        <v>9</v>
      </c>
      <c r="D537">
        <v>57111.63</v>
      </c>
      <c r="E537">
        <v>57959.22</v>
      </c>
      <c r="F537">
        <v>55050</v>
      </c>
      <c r="G537">
        <v>56705.84</v>
      </c>
      <c r="H537">
        <v>1595.58</v>
      </c>
      <c r="I537" t="str">
        <f>TRIM(C537)</f>
        <v>BTCUSD</v>
      </c>
      <c r="J537" t="e">
        <f>LEFT(#REF!,3)</f>
        <v>#REF!</v>
      </c>
    </row>
    <row r="538" spans="1:10" hidden="1" x14ac:dyDescent="0.25">
      <c r="A538" s="1">
        <v>44322</v>
      </c>
      <c r="B538" s="2" t="s">
        <v>13</v>
      </c>
      <c r="C538" s="2" t="s">
        <v>9</v>
      </c>
      <c r="D538">
        <v>56900.44</v>
      </c>
      <c r="E538">
        <v>58465.93</v>
      </c>
      <c r="F538">
        <v>55200</v>
      </c>
      <c r="G538">
        <v>55762.28</v>
      </c>
      <c r="H538">
        <v>1494.9</v>
      </c>
      <c r="I538" t="str">
        <f>TRIM(C538)</f>
        <v>BTCUSD</v>
      </c>
      <c r="J538" t="e">
        <f>LEFT(#REF!,3)</f>
        <v>#REF!</v>
      </c>
    </row>
    <row r="539" spans="1:10" hidden="1" x14ac:dyDescent="0.25">
      <c r="A539" s="1">
        <v>44323</v>
      </c>
      <c r="B539" s="2" t="s">
        <v>13</v>
      </c>
      <c r="C539" s="2" t="s">
        <v>9</v>
      </c>
      <c r="D539">
        <v>55762.28</v>
      </c>
      <c r="E539">
        <v>58750</v>
      </c>
      <c r="F539">
        <v>55292.22</v>
      </c>
      <c r="G539">
        <v>58187.76</v>
      </c>
      <c r="H539">
        <v>1591.2</v>
      </c>
      <c r="I539" t="str">
        <f>TRIM(C539)</f>
        <v>BTCUSD</v>
      </c>
      <c r="J539" t="e">
        <f>LEFT(#REF!,3)</f>
        <v>#REF!</v>
      </c>
    </row>
    <row r="540" spans="1:10" hidden="1" x14ac:dyDescent="0.25">
      <c r="A540" s="1">
        <v>44523</v>
      </c>
      <c r="B540" s="2" t="s">
        <v>19</v>
      </c>
      <c r="C540" s="2" t="s">
        <v>9</v>
      </c>
      <c r="D540">
        <v>56975.38</v>
      </c>
      <c r="E540">
        <v>57882.26</v>
      </c>
      <c r="F540">
        <v>55384</v>
      </c>
      <c r="G540">
        <v>56423.5</v>
      </c>
      <c r="H540">
        <v>1584.78</v>
      </c>
      <c r="I540" t="str">
        <f>TRIM(C540)</f>
        <v>BTCUSD</v>
      </c>
      <c r="J540" t="e">
        <f>LEFT(#REF!,3)</f>
        <v>#REF!</v>
      </c>
    </row>
    <row r="541" spans="1:10" hidden="1" x14ac:dyDescent="0.25">
      <c r="A541" s="1">
        <v>44293</v>
      </c>
      <c r="B541" s="2" t="s">
        <v>12</v>
      </c>
      <c r="C541" s="2" t="s">
        <v>9</v>
      </c>
      <c r="D541">
        <v>57934.16</v>
      </c>
      <c r="E541">
        <v>58675.79</v>
      </c>
      <c r="F541">
        <v>55450</v>
      </c>
      <c r="G541">
        <v>56559.59</v>
      </c>
      <c r="H541">
        <v>1994.91</v>
      </c>
      <c r="I541" t="str">
        <f>TRIM(C541)</f>
        <v>BTCUSD</v>
      </c>
      <c r="J541" t="e">
        <f>LEFT(#REF!,3)</f>
        <v>#REF!</v>
      </c>
    </row>
    <row r="542" spans="1:10" hidden="1" x14ac:dyDescent="0.25">
      <c r="A542" s="1">
        <v>44276</v>
      </c>
      <c r="B542" s="2" t="s">
        <v>11</v>
      </c>
      <c r="C542" s="2" t="s">
        <v>9</v>
      </c>
      <c r="D542">
        <v>57833.32</v>
      </c>
      <c r="E542">
        <v>58164.58</v>
      </c>
      <c r="F542">
        <v>55500</v>
      </c>
      <c r="G542">
        <v>57551.47</v>
      </c>
      <c r="H542">
        <v>781.35</v>
      </c>
      <c r="I542" t="str">
        <f>TRIM(C542)</f>
        <v>BTCUSD</v>
      </c>
      <c r="J542" t="e">
        <f>LEFT(#REF!,3)</f>
        <v>#REF!</v>
      </c>
    </row>
    <row r="543" spans="1:10" hidden="1" x14ac:dyDescent="0.25">
      <c r="A543" s="1">
        <v>44522</v>
      </c>
      <c r="B543" s="2" t="s">
        <v>19</v>
      </c>
      <c r="C543" s="2" t="s">
        <v>9</v>
      </c>
      <c r="D543">
        <v>57440.38</v>
      </c>
      <c r="E543">
        <v>59581.52</v>
      </c>
      <c r="F543">
        <v>55648.53</v>
      </c>
      <c r="G543">
        <v>56975.38</v>
      </c>
      <c r="H543">
        <v>1430.31</v>
      </c>
      <c r="I543" t="str">
        <f>TRIM(C543)</f>
        <v>BTCUSD</v>
      </c>
      <c r="J543" t="e">
        <f>LEFT(#REF!,3)</f>
        <v>#REF!</v>
      </c>
    </row>
    <row r="544" spans="1:10" hidden="1" x14ac:dyDescent="0.25">
      <c r="A544" s="1">
        <v>44248</v>
      </c>
      <c r="B544" s="2" t="s">
        <v>10</v>
      </c>
      <c r="C544" s="2" t="s">
        <v>9</v>
      </c>
      <c r="D544">
        <v>56541.2</v>
      </c>
      <c r="E544">
        <v>58481.599999999999</v>
      </c>
      <c r="F544">
        <v>55800</v>
      </c>
      <c r="G544">
        <v>55914.43</v>
      </c>
      <c r="H544">
        <v>1454.9</v>
      </c>
      <c r="I544" t="str">
        <f>TRIM(C544)</f>
        <v>BTCUSD</v>
      </c>
      <c r="J544" t="e">
        <f>LEFT(#REF!,3)</f>
        <v>#REF!</v>
      </c>
    </row>
    <row r="545" spans="1:10" hidden="1" x14ac:dyDescent="0.25">
      <c r="A545" s="1">
        <v>44480</v>
      </c>
      <c r="B545" s="2" t="s">
        <v>18</v>
      </c>
      <c r="C545" s="2" t="s">
        <v>9</v>
      </c>
      <c r="D545">
        <v>56520.58</v>
      </c>
      <c r="E545">
        <v>58000</v>
      </c>
      <c r="F545">
        <v>55838.77</v>
      </c>
      <c r="G545">
        <v>56710</v>
      </c>
      <c r="H545">
        <v>1027.9100000000001</v>
      </c>
      <c r="I545" t="str">
        <f>TRIM(C545)</f>
        <v>BTCUSD</v>
      </c>
      <c r="J545" t="e">
        <f>LEFT(#REF!,3)</f>
        <v>#REF!</v>
      </c>
    </row>
    <row r="546" spans="1:10" hidden="1" x14ac:dyDescent="0.25">
      <c r="A546" s="1">
        <v>44519</v>
      </c>
      <c r="B546" s="2" t="s">
        <v>19</v>
      </c>
      <c r="C546" s="2" t="s">
        <v>9</v>
      </c>
      <c r="D546">
        <v>55911.16</v>
      </c>
      <c r="E546">
        <v>59042</v>
      </c>
      <c r="F546">
        <v>55856.95</v>
      </c>
      <c r="G546">
        <v>58596.83</v>
      </c>
      <c r="H546">
        <v>1483.12</v>
      </c>
      <c r="I546" t="str">
        <f>TRIM(C546)</f>
        <v>BTCUSD</v>
      </c>
      <c r="J546" t="e">
        <f>LEFT(#REF!,3)</f>
        <v>#REF!</v>
      </c>
    </row>
    <row r="547" spans="1:10" hidden="1" x14ac:dyDescent="0.25">
      <c r="A547" s="1">
        <v>44531</v>
      </c>
      <c r="B547" s="2" t="s">
        <v>20</v>
      </c>
      <c r="C547" s="2" t="s">
        <v>9</v>
      </c>
      <c r="D547">
        <v>57404.47</v>
      </c>
      <c r="E547">
        <v>59105.91</v>
      </c>
      <c r="F547">
        <v>55860.02</v>
      </c>
      <c r="G547">
        <v>56362.19</v>
      </c>
      <c r="H547">
        <v>1420.43</v>
      </c>
      <c r="I547" t="str">
        <f>TRIM(C547)</f>
        <v>BTCUSD</v>
      </c>
      <c r="J547" t="e">
        <f>LEFT(#REF!,3)</f>
        <v>#REF!</v>
      </c>
    </row>
    <row r="548" spans="1:10" hidden="1" x14ac:dyDescent="0.25">
      <c r="A548" s="1">
        <v>44524</v>
      </c>
      <c r="B548" s="2" t="s">
        <v>19</v>
      </c>
      <c r="C548" s="2" t="s">
        <v>9</v>
      </c>
      <c r="D548">
        <v>56423.5</v>
      </c>
      <c r="E548">
        <v>58276.58</v>
      </c>
      <c r="F548">
        <v>55899</v>
      </c>
      <c r="G548">
        <v>57756.25</v>
      </c>
      <c r="H548">
        <v>1105.1600000000001</v>
      </c>
      <c r="I548" t="str">
        <f>TRIM(C548)</f>
        <v>BTCUSD</v>
      </c>
      <c r="J548" t="e">
        <f>LEFT(#REF!,3)</f>
        <v>#REF!</v>
      </c>
    </row>
    <row r="549" spans="1:10" hidden="1" x14ac:dyDescent="0.25">
      <c r="A549" s="1">
        <v>44530</v>
      </c>
      <c r="B549" s="2" t="s">
        <v>19</v>
      </c>
      <c r="C549" s="2" t="s">
        <v>9</v>
      </c>
      <c r="D549">
        <v>57163.87</v>
      </c>
      <c r="E549">
        <v>59226.98</v>
      </c>
      <c r="F549">
        <v>55930.25</v>
      </c>
      <c r="G549">
        <v>57404.47</v>
      </c>
      <c r="H549">
        <v>1487.28</v>
      </c>
      <c r="I549" t="str">
        <f>TRIM(C549)</f>
        <v>BTCUSD</v>
      </c>
      <c r="J549" t="e">
        <f>LEFT(#REF!,3)</f>
        <v>#REF!</v>
      </c>
    </row>
    <row r="550" spans="1:10" hidden="1" x14ac:dyDescent="0.25">
      <c r="A550" s="1">
        <v>44532</v>
      </c>
      <c r="B550" s="2" t="s">
        <v>20</v>
      </c>
      <c r="C550" s="2" t="s">
        <v>9</v>
      </c>
      <c r="D550">
        <v>56362.19</v>
      </c>
      <c r="E550">
        <v>57277.919999999998</v>
      </c>
      <c r="F550">
        <v>56000</v>
      </c>
      <c r="G550">
        <v>56380.25</v>
      </c>
      <c r="H550">
        <v>1140.49</v>
      </c>
      <c r="I550" t="str">
        <f>TRIM(C550)</f>
        <v>BTCUSD</v>
      </c>
      <c r="J550" t="e">
        <f>LEFT(#REF!,3)</f>
        <v>#REF!</v>
      </c>
    </row>
    <row r="551" spans="1:10" hidden="1" x14ac:dyDescent="0.25">
      <c r="A551" s="1">
        <v>44318</v>
      </c>
      <c r="B551" s="2" t="s">
        <v>13</v>
      </c>
      <c r="C551" s="2" t="s">
        <v>9</v>
      </c>
      <c r="D551">
        <v>56547.4</v>
      </c>
      <c r="E551">
        <v>58293.35</v>
      </c>
      <c r="F551">
        <v>56104.4</v>
      </c>
      <c r="G551">
        <v>57970.74</v>
      </c>
      <c r="H551">
        <v>653.63</v>
      </c>
      <c r="I551" t="str">
        <f>TRIM(C551)</f>
        <v>BTCUSD</v>
      </c>
      <c r="J551" t="e">
        <f>LEFT(#REF!,3)</f>
        <v>#REF!</v>
      </c>
    </row>
    <row r="552" spans="1:10" hidden="1" x14ac:dyDescent="0.25">
      <c r="A552" s="1">
        <v>44273</v>
      </c>
      <c r="B552" s="2" t="s">
        <v>11</v>
      </c>
      <c r="C552" s="2" t="s">
        <v>9</v>
      </c>
      <c r="D552">
        <v>58687.360000000001</v>
      </c>
      <c r="E552">
        <v>60099.99</v>
      </c>
      <c r="F552">
        <v>56239.55</v>
      </c>
      <c r="G552">
        <v>57793.71</v>
      </c>
      <c r="H552">
        <v>1594.38</v>
      </c>
      <c r="I552" t="str">
        <f>TRIM(C552)</f>
        <v>BTCUSD</v>
      </c>
      <c r="J552" t="e">
        <f>LEFT(#REF!,3)</f>
        <v>#REF!</v>
      </c>
    </row>
    <row r="553" spans="1:10" hidden="1" x14ac:dyDescent="0.25">
      <c r="A553" s="1">
        <v>44325</v>
      </c>
      <c r="B553" s="2" t="s">
        <v>13</v>
      </c>
      <c r="C553" s="2" t="s">
        <v>9</v>
      </c>
      <c r="D553">
        <v>58545.16</v>
      </c>
      <c r="E553">
        <v>59481.34</v>
      </c>
      <c r="F553">
        <v>56275.13</v>
      </c>
      <c r="G553">
        <v>59407.78</v>
      </c>
      <c r="H553">
        <v>1710.38</v>
      </c>
      <c r="I553" t="str">
        <f>TRIM(C553)</f>
        <v>BTCUSD</v>
      </c>
      <c r="J553" t="e">
        <f>LEFT(#REF!,3)</f>
        <v>#REF!</v>
      </c>
    </row>
    <row r="554" spans="1:10" hidden="1" x14ac:dyDescent="0.25">
      <c r="A554" s="1">
        <v>44268</v>
      </c>
      <c r="B554" s="2" t="s">
        <v>11</v>
      </c>
      <c r="C554" s="2" t="s">
        <v>9</v>
      </c>
      <c r="D554">
        <v>56705.84</v>
      </c>
      <c r="E554">
        <v>61785</v>
      </c>
      <c r="F554">
        <v>56284.51</v>
      </c>
      <c r="G554">
        <v>61354.75</v>
      </c>
      <c r="H554">
        <v>2135.31</v>
      </c>
      <c r="I554" t="str">
        <f>TRIM(C554)</f>
        <v>BTCUSD</v>
      </c>
      <c r="J554" t="e">
        <f>LEFT(#REF!,3)</f>
        <v>#REF!</v>
      </c>
    </row>
    <row r="555" spans="1:10" hidden="1" x14ac:dyDescent="0.25">
      <c r="A555" s="1">
        <v>44294</v>
      </c>
      <c r="B555" s="2" t="s">
        <v>12</v>
      </c>
      <c r="C555" s="2" t="s">
        <v>9</v>
      </c>
      <c r="D555">
        <v>56559.59</v>
      </c>
      <c r="E555">
        <v>58400</v>
      </c>
      <c r="F555">
        <v>56370.7</v>
      </c>
      <c r="G555">
        <v>58014.19</v>
      </c>
      <c r="H555">
        <v>762.92</v>
      </c>
      <c r="I555" t="str">
        <f>TRIM(C555)</f>
        <v>BTCUSD</v>
      </c>
      <c r="J555" t="e">
        <f>LEFT(#REF!,3)</f>
        <v>#REF!</v>
      </c>
    </row>
    <row r="556" spans="1:10" hidden="1" x14ac:dyDescent="0.25">
      <c r="A556" s="1">
        <v>44317</v>
      </c>
      <c r="B556" s="2" t="s">
        <v>13</v>
      </c>
      <c r="C556" s="2" t="s">
        <v>9</v>
      </c>
      <c r="D556">
        <v>58272.25</v>
      </c>
      <c r="E556"/>
      <c r="F556">
        <v>56408.62</v>
      </c>
      <c r="G556">
        <v>56547.4</v>
      </c>
      <c r="H556">
        <v>538.94000000000005</v>
      </c>
      <c r="I556" t="str">
        <f>TRIM(C556)</f>
        <v>BTCUSD</v>
      </c>
      <c r="J556" t="e">
        <f>LEFT(#REF!,3)</f>
        <v>#REF!</v>
      </c>
    </row>
    <row r="557" spans="1:10" hidden="1" x14ac:dyDescent="0.25">
      <c r="A557" s="1">
        <v>44289</v>
      </c>
      <c r="B557" s="2" t="s">
        <v>12</v>
      </c>
      <c r="C557" s="2" t="s">
        <v>9</v>
      </c>
      <c r="D557">
        <v>59251.040000000001</v>
      </c>
      <c r="E557">
        <v>59851.519999999997</v>
      </c>
      <c r="F557">
        <v>56500</v>
      </c>
      <c r="G557">
        <v>57557.71</v>
      </c>
      <c r="H557">
        <v>834.45</v>
      </c>
      <c r="I557" t="str">
        <f>TRIM(C557)</f>
        <v>BTCUSD</v>
      </c>
      <c r="J557" t="e">
        <f>LEFT(#REF!,3)</f>
        <v>#REF!</v>
      </c>
    </row>
    <row r="558" spans="1:10" hidden="1" x14ac:dyDescent="0.25">
      <c r="A558" s="1">
        <v>44529</v>
      </c>
      <c r="B558" s="2" t="s">
        <v>19</v>
      </c>
      <c r="C558" s="2" t="s">
        <v>9</v>
      </c>
      <c r="D558">
        <v>57400.61</v>
      </c>
      <c r="E558">
        <v>58903.31</v>
      </c>
      <c r="F558">
        <v>56734.49</v>
      </c>
      <c r="G558">
        <v>57163.87</v>
      </c>
      <c r="H558">
        <v>1057.04</v>
      </c>
      <c r="I558" t="str">
        <f>TRIM(C558)</f>
        <v>BTCUSD</v>
      </c>
      <c r="J558" t="e">
        <f>LEFT(#REF!,3)</f>
        <v>#REF!</v>
      </c>
    </row>
    <row r="559" spans="1:10" hidden="1" x14ac:dyDescent="0.25">
      <c r="A559" s="1">
        <v>44483</v>
      </c>
      <c r="B559" s="2" t="s">
        <v>18</v>
      </c>
      <c r="C559" s="2" t="s">
        <v>9</v>
      </c>
      <c r="D559">
        <v>58073.82</v>
      </c>
      <c r="E559">
        <v>59450</v>
      </c>
      <c r="F559">
        <v>56807.96</v>
      </c>
      <c r="G559">
        <v>59407.55</v>
      </c>
      <c r="H559">
        <v>1166.8900000000001</v>
      </c>
      <c r="I559" t="str">
        <f>TRIM(C559)</f>
        <v>BTCUSD</v>
      </c>
      <c r="J559" t="e">
        <f>LEFT(#REF!,3)</f>
        <v>#REF!</v>
      </c>
    </row>
    <row r="560" spans="1:10" hidden="1" x14ac:dyDescent="0.25">
      <c r="A560" s="1">
        <v>44291</v>
      </c>
      <c r="B560" s="2" t="s">
        <v>12</v>
      </c>
      <c r="C560" s="2" t="s">
        <v>9</v>
      </c>
      <c r="D560">
        <v>57479.64</v>
      </c>
      <c r="E560">
        <v>59468.95</v>
      </c>
      <c r="F560">
        <v>56810.28</v>
      </c>
      <c r="G560">
        <v>58638.14</v>
      </c>
      <c r="H560">
        <v>845.18</v>
      </c>
      <c r="I560" t="str">
        <f>TRIM(C560)</f>
        <v>BTCUSD</v>
      </c>
      <c r="J560" t="e">
        <f>LEFT(#REF!,3)</f>
        <v>#REF!</v>
      </c>
    </row>
    <row r="561" spans="1:10" hidden="1" x14ac:dyDescent="0.25">
      <c r="A561" s="1">
        <v>44286</v>
      </c>
      <c r="B561" s="2" t="s">
        <v>11</v>
      </c>
      <c r="C561" s="2" t="s">
        <v>9</v>
      </c>
      <c r="D561">
        <v>58621.67</v>
      </c>
      <c r="E561">
        <v>59800</v>
      </c>
      <c r="F561">
        <v>56880</v>
      </c>
      <c r="G561">
        <v>59143.58</v>
      </c>
      <c r="H561">
        <v>1679.55</v>
      </c>
      <c r="I561" t="str">
        <f>TRIM(C561)</f>
        <v>BTCUSD</v>
      </c>
      <c r="J561" t="e">
        <f>LEFT(#REF!,3)</f>
        <v>#REF!</v>
      </c>
    </row>
    <row r="562" spans="1:10" hidden="1" x14ac:dyDescent="0.25">
      <c r="A562" s="1">
        <v>44285</v>
      </c>
      <c r="B562" s="2" t="s">
        <v>11</v>
      </c>
      <c r="C562" s="2" t="s">
        <v>9</v>
      </c>
      <c r="D562">
        <v>57155.81</v>
      </c>
      <c r="E562">
        <v>59385</v>
      </c>
      <c r="F562">
        <v>57024.4</v>
      </c>
      <c r="G562">
        <v>58621.67</v>
      </c>
      <c r="H562">
        <v>933.97</v>
      </c>
      <c r="I562" t="str">
        <f>TRIM(C562)</f>
        <v>BTCUSD</v>
      </c>
      <c r="J562" t="e">
        <f>LEFT(#REF!,3)</f>
        <v>#REF!</v>
      </c>
    </row>
    <row r="563" spans="1:10" hidden="1" x14ac:dyDescent="0.25">
      <c r="A563" s="1">
        <v>44290</v>
      </c>
      <c r="B563" s="2" t="s">
        <v>12</v>
      </c>
      <c r="C563" s="2" t="s">
        <v>9</v>
      </c>
      <c r="D563">
        <v>57557.71</v>
      </c>
      <c r="E563">
        <v>58500.94</v>
      </c>
      <c r="F563">
        <v>57042.53</v>
      </c>
      <c r="G563">
        <v>57479.64</v>
      </c>
      <c r="H563">
        <v>288.3</v>
      </c>
      <c r="I563" t="str">
        <f>TRIM(C563)</f>
        <v>BTCUSD</v>
      </c>
      <c r="J563" t="e">
        <f>LEFT(#REF!,3)</f>
        <v>#REF!</v>
      </c>
    </row>
    <row r="564" spans="1:10" hidden="1" x14ac:dyDescent="0.25">
      <c r="A564" s="1">
        <v>44521</v>
      </c>
      <c r="B564" s="2" t="s">
        <v>19</v>
      </c>
      <c r="C564" s="2" t="s">
        <v>9</v>
      </c>
      <c r="D564">
        <v>58741.06</v>
      </c>
      <c r="E564">
        <v>60061.89</v>
      </c>
      <c r="F564">
        <v>57049.07</v>
      </c>
      <c r="G564">
        <v>57440.38</v>
      </c>
      <c r="H564">
        <v>649.59</v>
      </c>
      <c r="I564" t="str">
        <f>TRIM(C564)</f>
        <v>BTCUSD</v>
      </c>
      <c r="J564" t="e">
        <f>LEFT(#REF!,3)</f>
        <v>#REF!</v>
      </c>
    </row>
    <row r="565" spans="1:10" hidden="1" x14ac:dyDescent="0.25">
      <c r="A565" s="1">
        <v>44525</v>
      </c>
      <c r="B565" s="2" t="s">
        <v>19</v>
      </c>
      <c r="C565" s="2" t="s">
        <v>9</v>
      </c>
      <c r="D565">
        <v>57756.25</v>
      </c>
      <c r="E565">
        <v>59476.65</v>
      </c>
      <c r="F565">
        <v>57051.76</v>
      </c>
      <c r="G565">
        <v>57952.35</v>
      </c>
      <c r="H565">
        <v>628.99</v>
      </c>
      <c r="I565" t="str">
        <f>TRIM(C565)</f>
        <v>BTCUSD</v>
      </c>
      <c r="J565" t="e">
        <f>LEFT(#REF!,3)</f>
        <v>#REF!</v>
      </c>
    </row>
    <row r="566" spans="1:10" hidden="1" x14ac:dyDescent="0.25">
      <c r="A566" s="1">
        <v>44292</v>
      </c>
      <c r="B566" s="2" t="s">
        <v>12</v>
      </c>
      <c r="C566" s="2" t="s">
        <v>9</v>
      </c>
      <c r="D566">
        <v>58638.14</v>
      </c>
      <c r="E566">
        <v>59028.19</v>
      </c>
      <c r="F566">
        <v>57255</v>
      </c>
      <c r="G566">
        <v>57934.16</v>
      </c>
      <c r="H566">
        <v>1173.72</v>
      </c>
      <c r="I566" t="str">
        <f>TRIM(C566)</f>
        <v>BTCUSD</v>
      </c>
      <c r="J566" t="e">
        <f>LEFT(#REF!,3)</f>
        <v>#REF!</v>
      </c>
    </row>
    <row r="567" spans="1:10" hidden="1" x14ac:dyDescent="0.25">
      <c r="A567" s="1">
        <v>44520</v>
      </c>
      <c r="B567" s="2" t="s">
        <v>19</v>
      </c>
      <c r="C567" s="2" t="s">
        <v>9</v>
      </c>
      <c r="D567">
        <v>58596.83</v>
      </c>
      <c r="E567">
        <v>59886.11</v>
      </c>
      <c r="F567">
        <v>57442</v>
      </c>
      <c r="G567">
        <v>58741.06</v>
      </c>
      <c r="H567">
        <v>777.79</v>
      </c>
      <c r="I567" t="str">
        <f>TRIM(C567)</f>
        <v>BTCUSD</v>
      </c>
      <c r="J567" t="e">
        <f>LEFT(#REF!,3)</f>
        <v>#REF!</v>
      </c>
    </row>
    <row r="568" spans="1:10" hidden="1" x14ac:dyDescent="0.25">
      <c r="A568" s="1">
        <v>44275</v>
      </c>
      <c r="B568" s="2" t="s">
        <v>11</v>
      </c>
      <c r="C568" s="2" t="s">
        <v>9</v>
      </c>
      <c r="D568">
        <v>58428.9</v>
      </c>
      <c r="E568">
        <v>59880</v>
      </c>
      <c r="F568">
        <v>57469.36</v>
      </c>
      <c r="G568">
        <v>57833.32</v>
      </c>
      <c r="H568">
        <v>774.22</v>
      </c>
      <c r="I568" t="str">
        <f>TRIM(C568)</f>
        <v>BTCUSD</v>
      </c>
      <c r="J568" t="e">
        <f>LEFT(#REF!,3)</f>
        <v>#REF!</v>
      </c>
    </row>
    <row r="569" spans="1:10" hidden="1" x14ac:dyDescent="0.25">
      <c r="A569" s="1">
        <v>44497</v>
      </c>
      <c r="B569" s="2" t="s">
        <v>18</v>
      </c>
      <c r="C569" s="2" t="s">
        <v>9</v>
      </c>
      <c r="D569">
        <v>58884.7</v>
      </c>
      <c r="E569">
        <v>62508.87</v>
      </c>
      <c r="F569">
        <v>57500</v>
      </c>
      <c r="G569">
        <v>61706.36</v>
      </c>
      <c r="H569">
        <v>2789.79</v>
      </c>
      <c r="I569" t="str">
        <f>TRIM(C569)</f>
        <v>BTCUSD</v>
      </c>
      <c r="J569" t="e">
        <f>LEFT(#REF!,3)</f>
        <v>#REF!</v>
      </c>
    </row>
    <row r="570" spans="1:10" hidden="1" x14ac:dyDescent="0.25">
      <c r="A570" s="1">
        <v>44274</v>
      </c>
      <c r="B570" s="2" t="s">
        <v>11</v>
      </c>
      <c r="C570" s="2" t="s">
        <v>9</v>
      </c>
      <c r="D570">
        <v>57793.71</v>
      </c>
      <c r="E570">
        <v>59448.39</v>
      </c>
      <c r="F570">
        <v>57507.61</v>
      </c>
      <c r="G570">
        <v>58428.9</v>
      </c>
      <c r="H570">
        <v>1014.17</v>
      </c>
      <c r="I570" t="str">
        <f>TRIM(C570)</f>
        <v>BTCUSD</v>
      </c>
      <c r="J570" t="e">
        <f>LEFT(#REF!,3)</f>
        <v>#REF!</v>
      </c>
    </row>
    <row r="571" spans="1:10" hidden="1" x14ac:dyDescent="0.25">
      <c r="A571" s="1">
        <v>44324</v>
      </c>
      <c r="B571" s="2" t="s">
        <v>13</v>
      </c>
      <c r="C571" s="2" t="s">
        <v>9</v>
      </c>
      <c r="D571">
        <v>58187.76</v>
      </c>
      <c r="E571">
        <v>59560</v>
      </c>
      <c r="F571">
        <v>57583.09</v>
      </c>
      <c r="G571">
        <v>58545.16</v>
      </c>
      <c r="H571">
        <v>1692.08</v>
      </c>
      <c r="I571" t="str">
        <f>TRIM(C571)</f>
        <v>BTCUSD</v>
      </c>
      <c r="J571" t="e">
        <f>LEFT(#REF!,3)</f>
        <v>#REF!</v>
      </c>
    </row>
    <row r="572" spans="1:10" hidden="1" x14ac:dyDescent="0.25">
      <c r="A572" s="1">
        <v>44295</v>
      </c>
      <c r="B572" s="2" t="s">
        <v>12</v>
      </c>
      <c r="C572" s="2" t="s">
        <v>9</v>
      </c>
      <c r="D572">
        <v>58014.19</v>
      </c>
      <c r="E572">
        <v>59170</v>
      </c>
      <c r="F572">
        <v>57689.72</v>
      </c>
      <c r="G572">
        <v>59160</v>
      </c>
      <c r="H572">
        <v>930.34</v>
      </c>
      <c r="I572" t="str">
        <f>TRIM(C572)</f>
        <v>BTCUSD</v>
      </c>
      <c r="J572" t="e">
        <f>LEFT(#REF!,3)</f>
        <v>#REF!</v>
      </c>
    </row>
    <row r="573" spans="1:10" hidden="1" x14ac:dyDescent="0.25">
      <c r="A573" s="1">
        <v>44287</v>
      </c>
      <c r="B573" s="2" t="s">
        <v>12</v>
      </c>
      <c r="C573" s="2" t="s">
        <v>9</v>
      </c>
      <c r="D573">
        <v>59143.58</v>
      </c>
      <c r="E573">
        <v>60100</v>
      </c>
      <c r="F573">
        <v>57946.28</v>
      </c>
      <c r="G573">
        <v>59800</v>
      </c>
      <c r="H573">
        <v>1221</v>
      </c>
      <c r="I573" t="str">
        <f>TRIM(C573)</f>
        <v>BTCUSD</v>
      </c>
      <c r="J573" t="e">
        <f>LEFT(#REF!,3)</f>
        <v>#REF!</v>
      </c>
    </row>
    <row r="574" spans="1:10" hidden="1" x14ac:dyDescent="0.25">
      <c r="A574" s="1">
        <v>44496</v>
      </c>
      <c r="B574" s="2" t="s">
        <v>18</v>
      </c>
      <c r="C574" s="2" t="s">
        <v>9</v>
      </c>
      <c r="D574">
        <v>60728</v>
      </c>
      <c r="E574">
        <v>61500</v>
      </c>
      <c r="F574">
        <v>58100</v>
      </c>
      <c r="G574">
        <v>58884.7</v>
      </c>
      <c r="H574">
        <v>1865.12</v>
      </c>
      <c r="I574" t="str">
        <f>TRIM(C574)</f>
        <v>BTCUSD</v>
      </c>
      <c r="J574" t="e">
        <f>LEFT(#REF!,3)</f>
        <v>#REF!</v>
      </c>
    </row>
    <row r="575" spans="1:10" hidden="1" x14ac:dyDescent="0.25">
      <c r="A575" s="1">
        <v>44296</v>
      </c>
      <c r="B575" s="2" t="s">
        <v>12</v>
      </c>
      <c r="C575" s="2" t="s">
        <v>9</v>
      </c>
      <c r="D575">
        <v>59160</v>
      </c>
      <c r="E575">
        <v>61180</v>
      </c>
      <c r="F575">
        <v>58316.33</v>
      </c>
      <c r="G575">
        <v>60240.83</v>
      </c>
      <c r="H575">
        <v>1344.77</v>
      </c>
      <c r="I575" t="str">
        <f>TRIM(C575)</f>
        <v>BTCUSD</v>
      </c>
      <c r="J575" t="e">
        <f>LEFT(#REF!,3)</f>
        <v>#REF!</v>
      </c>
    </row>
    <row r="576" spans="1:10" hidden="1" x14ac:dyDescent="0.25">
      <c r="A576" s="1">
        <v>44517</v>
      </c>
      <c r="B576" s="2" t="s">
        <v>19</v>
      </c>
      <c r="C576" s="2" t="s">
        <v>9</v>
      </c>
      <c r="D576">
        <v>59050.45</v>
      </c>
      <c r="E576">
        <v>60976.25</v>
      </c>
      <c r="F576">
        <v>58434.8</v>
      </c>
      <c r="G576">
        <v>59885.21</v>
      </c>
      <c r="H576">
        <v>1794.84</v>
      </c>
      <c r="I576" t="str">
        <f>TRIM(C576)</f>
        <v>BTCUSD</v>
      </c>
      <c r="J576" t="e">
        <f>LEFT(#REF!,3)</f>
        <v>#REF!</v>
      </c>
    </row>
    <row r="577" spans="1:10" hidden="1" x14ac:dyDescent="0.25">
      <c r="A577" s="1">
        <v>44288</v>
      </c>
      <c r="B577" s="2" t="s">
        <v>12</v>
      </c>
      <c r="C577" s="2" t="s">
        <v>9</v>
      </c>
      <c r="D577">
        <v>59800</v>
      </c>
      <c r="E577">
        <v>59950</v>
      </c>
      <c r="F577">
        <v>58485.68</v>
      </c>
      <c r="G577">
        <v>59251.040000000001</v>
      </c>
      <c r="H577">
        <v>760.64</v>
      </c>
      <c r="I577" t="str">
        <f>TRIM(C577)</f>
        <v>BTCUSD</v>
      </c>
      <c r="J577" t="e">
        <f>LEFT(#REF!,3)</f>
        <v>#REF!</v>
      </c>
    </row>
    <row r="578" spans="1:10" hidden="1" x14ac:dyDescent="0.25">
      <c r="A578" s="1">
        <v>44516</v>
      </c>
      <c r="B578" s="2" t="s">
        <v>19</v>
      </c>
      <c r="C578" s="2" t="s">
        <v>9</v>
      </c>
      <c r="D578">
        <v>60944.13</v>
      </c>
      <c r="E578">
        <v>61558.53</v>
      </c>
      <c r="F578">
        <v>58573</v>
      </c>
      <c r="G578">
        <v>59050.45</v>
      </c>
      <c r="H578">
        <v>2725.2</v>
      </c>
      <c r="I578" t="str">
        <f>TRIM(C578)</f>
        <v>BTCUSD</v>
      </c>
      <c r="J578" t="e">
        <f>LEFT(#REF!,3)</f>
        <v>#REF!</v>
      </c>
    </row>
    <row r="579" spans="1:10" hidden="1" x14ac:dyDescent="0.25">
      <c r="A579" s="1">
        <v>44269</v>
      </c>
      <c r="B579" s="2" t="s">
        <v>11</v>
      </c>
      <c r="C579" s="2" t="s">
        <v>9</v>
      </c>
      <c r="D579">
        <v>61354.75</v>
      </c>
      <c r="E579">
        <v>61500.82</v>
      </c>
      <c r="F579">
        <v>58750</v>
      </c>
      <c r="G579">
        <v>60362.18</v>
      </c>
      <c r="H579">
        <v>1286.1500000000001</v>
      </c>
      <c r="I579" t="str">
        <f>TRIM(C579)</f>
        <v>BTCUSD</v>
      </c>
      <c r="J579" t="e">
        <f>LEFT(#REF!,3)</f>
        <v>#REF!</v>
      </c>
    </row>
    <row r="580" spans="1:10" hidden="1" x14ac:dyDescent="0.25">
      <c r="A580" s="1">
        <v>44484</v>
      </c>
      <c r="B580" s="2" t="s">
        <v>18</v>
      </c>
      <c r="C580" s="2" t="s">
        <v>9</v>
      </c>
      <c r="D580">
        <v>59407.55</v>
      </c>
      <c r="E580">
        <v>62898</v>
      </c>
      <c r="F580">
        <v>58768.79</v>
      </c>
      <c r="G580">
        <v>61624.84</v>
      </c>
      <c r="H580">
        <v>3069.46</v>
      </c>
      <c r="I580" t="str">
        <f>TRIM(C580)</f>
        <v>BTCUSD</v>
      </c>
      <c r="J580" t="e">
        <f>LEFT(#REF!,3)</f>
        <v>#REF!</v>
      </c>
    </row>
    <row r="581" spans="1:10" hidden="1" x14ac:dyDescent="0.25">
      <c r="A581" s="1">
        <v>44486</v>
      </c>
      <c r="B581" s="2" t="s">
        <v>18</v>
      </c>
      <c r="C581" s="2" t="s">
        <v>9</v>
      </c>
      <c r="D581">
        <v>61144.42</v>
      </c>
      <c r="E581">
        <v>62552.73</v>
      </c>
      <c r="F581">
        <v>58937.03</v>
      </c>
      <c r="G581">
        <v>62100</v>
      </c>
      <c r="H581">
        <v>929.51</v>
      </c>
      <c r="I581" t="str">
        <f>TRIM(C581)</f>
        <v>BTCUSD</v>
      </c>
      <c r="J581" t="e">
        <f>LEFT(#REF!,3)</f>
        <v>#REF!</v>
      </c>
    </row>
    <row r="582" spans="1:10" hidden="1" x14ac:dyDescent="0.25">
      <c r="A582" s="1">
        <v>44297</v>
      </c>
      <c r="B582" s="2" t="s">
        <v>12</v>
      </c>
      <c r="C582" s="2" t="s">
        <v>9</v>
      </c>
      <c r="D582">
        <v>60240.83</v>
      </c>
      <c r="E582">
        <v>60416.42</v>
      </c>
      <c r="F582">
        <v>59200</v>
      </c>
      <c r="G582">
        <v>60325.66</v>
      </c>
      <c r="H582">
        <v>644.47</v>
      </c>
      <c r="I582" t="str">
        <f>TRIM(C582)</f>
        <v>BTCUSD</v>
      </c>
      <c r="J582" t="e">
        <f>LEFT(#REF!,3)</f>
        <v>#REF!</v>
      </c>
    </row>
    <row r="583" spans="1:10" hidden="1" x14ac:dyDescent="0.25">
      <c r="A583" s="1">
        <v>44298</v>
      </c>
      <c r="B583" s="2" t="s">
        <v>12</v>
      </c>
      <c r="C583" s="2" t="s">
        <v>9</v>
      </c>
      <c r="D583">
        <v>60325.66</v>
      </c>
      <c r="E583">
        <v>61197.09</v>
      </c>
      <c r="F583">
        <v>59400.01</v>
      </c>
      <c r="G583">
        <v>60415.91</v>
      </c>
      <c r="H583">
        <v>1343.29</v>
      </c>
      <c r="I583" t="str">
        <f>TRIM(C583)</f>
        <v>BTCUSD</v>
      </c>
      <c r="J583" t="e">
        <f>LEFT(#REF!,3)</f>
        <v>#REF!</v>
      </c>
    </row>
    <row r="584" spans="1:10" hidden="1" x14ac:dyDescent="0.25">
      <c r="A584" s="1">
        <v>44501</v>
      </c>
      <c r="B584" s="2" t="s">
        <v>19</v>
      </c>
      <c r="C584" s="2" t="s">
        <v>9</v>
      </c>
      <c r="D584">
        <v>59947.01</v>
      </c>
      <c r="E584">
        <v>62490</v>
      </c>
      <c r="F584">
        <v>59490.18</v>
      </c>
      <c r="G584">
        <v>61133.24</v>
      </c>
      <c r="H584">
        <v>1488.56</v>
      </c>
      <c r="I584" t="str">
        <f>TRIM(C584)</f>
        <v>BTCUSD</v>
      </c>
      <c r="J584" t="e">
        <f>LEFT(#REF!,3)</f>
        <v>#REF!</v>
      </c>
    </row>
    <row r="585" spans="1:10" hidden="1" x14ac:dyDescent="0.25">
      <c r="A585" s="1">
        <v>44493</v>
      </c>
      <c r="B585" s="2" t="s">
        <v>18</v>
      </c>
      <c r="C585" s="2" t="s">
        <v>9</v>
      </c>
      <c r="D585">
        <v>61226</v>
      </c>
      <c r="E585">
        <v>62223.14</v>
      </c>
      <c r="F585">
        <v>59505</v>
      </c>
      <c r="G585">
        <v>62091.93</v>
      </c>
      <c r="H585">
        <v>848.7</v>
      </c>
      <c r="I585" t="str">
        <f>TRIM(C585)</f>
        <v>BTCUSD</v>
      </c>
      <c r="J585" t="e">
        <f>LEFT(#REF!,3)</f>
        <v>#REF!</v>
      </c>
    </row>
    <row r="586" spans="1:10" hidden="1" x14ac:dyDescent="0.25">
      <c r="A586" s="1">
        <v>44492</v>
      </c>
      <c r="B586" s="2" t="s">
        <v>18</v>
      </c>
      <c r="C586" s="2" t="s">
        <v>9</v>
      </c>
      <c r="D586">
        <v>61234.9</v>
      </c>
      <c r="E586">
        <v>61743.51</v>
      </c>
      <c r="F586">
        <v>59648.91</v>
      </c>
      <c r="G586">
        <v>61226</v>
      </c>
      <c r="H586">
        <v>543.67999999999995</v>
      </c>
      <c r="I586" t="str">
        <f>TRIM(C586)</f>
        <v>BTCUSD</v>
      </c>
      <c r="J586" t="e">
        <f>LEFT(#REF!,3)</f>
        <v>#REF!</v>
      </c>
    </row>
    <row r="587" spans="1:10" hidden="1" x14ac:dyDescent="0.25">
      <c r="A587" s="1">
        <v>44500</v>
      </c>
      <c r="B587" s="2" t="s">
        <v>18</v>
      </c>
      <c r="C587" s="2" t="s">
        <v>9</v>
      </c>
      <c r="D587">
        <v>61719.1</v>
      </c>
      <c r="E587">
        <v>61768</v>
      </c>
      <c r="F587">
        <v>59731.57</v>
      </c>
      <c r="G587">
        <v>59947.01</v>
      </c>
      <c r="H587">
        <v>975.65</v>
      </c>
      <c r="I587" t="str">
        <f>TRIM(C587)</f>
        <v>BTCUSD</v>
      </c>
      <c r="J587" t="e">
        <f>LEFT(#REF!,3)</f>
        <v>#REF!</v>
      </c>
    </row>
    <row r="588" spans="1:10" hidden="1" x14ac:dyDescent="0.25">
      <c r="A588" s="1">
        <v>44495</v>
      </c>
      <c r="B588" s="2" t="s">
        <v>18</v>
      </c>
      <c r="C588" s="2" t="s">
        <v>9</v>
      </c>
      <c r="D588">
        <v>62765.47</v>
      </c>
      <c r="E588">
        <v>63102.8</v>
      </c>
      <c r="F588">
        <v>59850</v>
      </c>
      <c r="G588">
        <v>60728</v>
      </c>
      <c r="H588">
        <v>1278.71</v>
      </c>
      <c r="I588" t="str">
        <f>TRIM(C588)</f>
        <v>BTCUSD</v>
      </c>
      <c r="J588" t="e">
        <f>LEFT(#REF!,3)</f>
        <v>#REF!</v>
      </c>
    </row>
    <row r="589" spans="1:10" hidden="1" x14ac:dyDescent="0.25">
      <c r="A589" s="1">
        <v>44487</v>
      </c>
      <c r="B589" s="2" t="s">
        <v>18</v>
      </c>
      <c r="C589" s="2" t="s">
        <v>9</v>
      </c>
      <c r="D589">
        <v>62100</v>
      </c>
      <c r="E589">
        <v>62973.38</v>
      </c>
      <c r="F589">
        <v>59926.13</v>
      </c>
      <c r="G589">
        <v>62600</v>
      </c>
      <c r="H589">
        <v>2631.53</v>
      </c>
      <c r="I589" t="str">
        <f>TRIM(C589)</f>
        <v>BTCUSD</v>
      </c>
      <c r="J589" t="e">
        <f>LEFT(#REF!,3)</f>
        <v>#REF!</v>
      </c>
    </row>
    <row r="590" spans="1:10" hidden="1" x14ac:dyDescent="0.25">
      <c r="A590" s="1">
        <v>44491</v>
      </c>
      <c r="B590" s="2" t="s">
        <v>18</v>
      </c>
      <c r="C590" s="2" t="s">
        <v>9</v>
      </c>
      <c r="D590">
        <v>63243.4</v>
      </c>
      <c r="E590">
        <v>63745.62</v>
      </c>
      <c r="F590">
        <v>60000</v>
      </c>
      <c r="G590">
        <v>61234.9</v>
      </c>
      <c r="H590">
        <v>1652.99</v>
      </c>
      <c r="I590" t="str">
        <f>TRIM(C590)</f>
        <v>BTCUSD</v>
      </c>
      <c r="J590" t="e">
        <f>LEFT(#REF!,3)</f>
        <v>#REF!</v>
      </c>
    </row>
    <row r="591" spans="1:10" hidden="1" x14ac:dyDescent="0.25">
      <c r="A591" s="1">
        <v>44302</v>
      </c>
      <c r="B591" s="2" t="s">
        <v>12</v>
      </c>
      <c r="C591" s="2" t="s">
        <v>9</v>
      </c>
      <c r="D591">
        <v>62998.68</v>
      </c>
      <c r="E591">
        <v>62998.68</v>
      </c>
      <c r="F591">
        <v>60055.14</v>
      </c>
      <c r="G591">
        <v>62450</v>
      </c>
      <c r="H591">
        <v>2319.6</v>
      </c>
      <c r="I591" t="str">
        <f>TRIM(C591)</f>
        <v>BTCUSD</v>
      </c>
      <c r="J591" t="e">
        <f>LEFT(#REF!,3)</f>
        <v>#REF!</v>
      </c>
    </row>
    <row r="592" spans="1:10" hidden="1" x14ac:dyDescent="0.25">
      <c r="A592" s="1">
        <v>44503</v>
      </c>
      <c r="B592" s="2" t="s">
        <v>19</v>
      </c>
      <c r="C592" s="2" t="s">
        <v>9</v>
      </c>
      <c r="D592">
        <v>63257.57</v>
      </c>
      <c r="E592">
        <v>63547.54</v>
      </c>
      <c r="F592">
        <v>60110</v>
      </c>
      <c r="G592">
        <v>62469.83</v>
      </c>
      <c r="H592">
        <v>1448.49</v>
      </c>
      <c r="I592" t="str">
        <f>TRIM(C592)</f>
        <v>BTCUSD</v>
      </c>
      <c r="J592" t="e">
        <f>LEFT(#REF!,3)</f>
        <v>#REF!</v>
      </c>
    </row>
    <row r="593" spans="1:10" hidden="1" x14ac:dyDescent="0.25">
      <c r="A593" s="1">
        <v>44506</v>
      </c>
      <c r="B593" s="2" t="s">
        <v>19</v>
      </c>
      <c r="C593" s="2" t="s">
        <v>9</v>
      </c>
      <c r="D593">
        <v>61172.03</v>
      </c>
      <c r="E593">
        <v>62338.16</v>
      </c>
      <c r="F593">
        <v>60120</v>
      </c>
      <c r="G593">
        <v>62199.69</v>
      </c>
      <c r="H593">
        <v>758.38</v>
      </c>
      <c r="I593" t="str">
        <f>TRIM(C593)</f>
        <v>BTCUSD</v>
      </c>
      <c r="J593" t="e">
        <f>LEFT(#REF!,3)</f>
        <v>#REF!</v>
      </c>
    </row>
    <row r="594" spans="1:10" hidden="1" x14ac:dyDescent="0.25">
      <c r="A594" s="1">
        <v>44485</v>
      </c>
      <c r="B594" s="2" t="s">
        <v>18</v>
      </c>
      <c r="C594" s="2" t="s">
        <v>9</v>
      </c>
      <c r="D594">
        <v>61624.84</v>
      </c>
      <c r="E594">
        <v>62366.080000000002</v>
      </c>
      <c r="F594">
        <v>60174.14</v>
      </c>
      <c r="G594">
        <v>61144.42</v>
      </c>
      <c r="H594">
        <v>864.57</v>
      </c>
      <c r="I594" t="str">
        <f>TRIM(C594)</f>
        <v>BTCUSD</v>
      </c>
      <c r="J594" t="e">
        <f>LEFT(#REF!,3)</f>
        <v>#REF!</v>
      </c>
    </row>
    <row r="595" spans="1:10" hidden="1" x14ac:dyDescent="0.25">
      <c r="A595" s="1">
        <v>44299</v>
      </c>
      <c r="B595" s="2" t="s">
        <v>12</v>
      </c>
      <c r="C595" s="2" t="s">
        <v>9</v>
      </c>
      <c r="D595">
        <v>60415.91</v>
      </c>
      <c r="E595">
        <v>63880</v>
      </c>
      <c r="F595">
        <v>60321.120000000003</v>
      </c>
      <c r="G595">
        <v>63773.18</v>
      </c>
      <c r="H595">
        <v>2091.4299999999998</v>
      </c>
      <c r="I595" t="str">
        <f>TRIM(C595)</f>
        <v>BTCUSD</v>
      </c>
      <c r="J595" t="e">
        <f>LEFT(#REF!,3)</f>
        <v>#REF!</v>
      </c>
    </row>
    <row r="596" spans="1:10" hidden="1" x14ac:dyDescent="0.25">
      <c r="A596" s="1">
        <v>44498</v>
      </c>
      <c r="B596" s="2" t="s">
        <v>18</v>
      </c>
      <c r="C596" s="2" t="s">
        <v>9</v>
      </c>
      <c r="D596">
        <v>61706.36</v>
      </c>
      <c r="E596">
        <v>62978</v>
      </c>
      <c r="F596">
        <v>60367</v>
      </c>
      <c r="G596">
        <v>61669.43</v>
      </c>
      <c r="H596">
        <v>1737.13</v>
      </c>
      <c r="I596" t="str">
        <f>TRIM(C596)</f>
        <v>BTCUSD</v>
      </c>
      <c r="J596" t="e">
        <f>LEFT(#REF!,3)</f>
        <v>#REF!</v>
      </c>
    </row>
    <row r="597" spans="1:10" hidden="1" x14ac:dyDescent="0.25">
      <c r="A597" s="1">
        <v>44515</v>
      </c>
      <c r="B597" s="2" t="s">
        <v>19</v>
      </c>
      <c r="C597" s="2" t="s">
        <v>9</v>
      </c>
      <c r="D597">
        <v>65744.179999999993</v>
      </c>
      <c r="E597">
        <v>66340.740000000005</v>
      </c>
      <c r="F597">
        <v>60503</v>
      </c>
      <c r="G597">
        <v>60944.13</v>
      </c>
      <c r="H597">
        <v>1790.8</v>
      </c>
      <c r="I597" t="str">
        <f>TRIM(C597)</f>
        <v>BTCUSD</v>
      </c>
      <c r="J597" t="e">
        <f>LEFT(#REF!,3)</f>
        <v>#REF!</v>
      </c>
    </row>
    <row r="598" spans="1:10" hidden="1" x14ac:dyDescent="0.25">
      <c r="A598" s="1">
        <v>44499</v>
      </c>
      <c r="B598" s="2" t="s">
        <v>18</v>
      </c>
      <c r="C598" s="2" t="s">
        <v>9</v>
      </c>
      <c r="D598">
        <v>61669.43</v>
      </c>
      <c r="E598">
        <v>62487.97</v>
      </c>
      <c r="F598">
        <v>60696.52</v>
      </c>
      <c r="G598">
        <v>61719.1</v>
      </c>
      <c r="H598">
        <v>1116.81</v>
      </c>
      <c r="I598" t="str">
        <f>TRIM(C598)</f>
        <v>BTCUSD</v>
      </c>
      <c r="J598" t="e">
        <f>LEFT(#REF!,3)</f>
        <v>#REF!</v>
      </c>
    </row>
    <row r="599" spans="1:10" hidden="1" x14ac:dyDescent="0.25">
      <c r="A599" s="1">
        <v>44504</v>
      </c>
      <c r="B599" s="2" t="s">
        <v>19</v>
      </c>
      <c r="C599" s="2" t="s">
        <v>9</v>
      </c>
      <c r="D599">
        <v>62469.83</v>
      </c>
      <c r="E599">
        <v>62858.83</v>
      </c>
      <c r="F599">
        <v>60724.160000000003</v>
      </c>
      <c r="G599">
        <v>62249.599999999999</v>
      </c>
      <c r="H599">
        <v>1036.53</v>
      </c>
      <c r="I599" t="str">
        <f>TRIM(C599)</f>
        <v>BTCUSD</v>
      </c>
      <c r="J599" t="e">
        <f>LEFT(#REF!,3)</f>
        <v>#REF!</v>
      </c>
    </row>
    <row r="600" spans="1:10" hidden="1" x14ac:dyDescent="0.25">
      <c r="A600" s="1">
        <v>44505</v>
      </c>
      <c r="B600" s="2" t="s">
        <v>19</v>
      </c>
      <c r="C600" s="2" t="s">
        <v>9</v>
      </c>
      <c r="D600">
        <v>62249.599999999999</v>
      </c>
      <c r="E600">
        <v>64000</v>
      </c>
      <c r="F600">
        <v>60777.3</v>
      </c>
      <c r="G600">
        <v>61172.03</v>
      </c>
      <c r="H600">
        <v>1043.9100000000001</v>
      </c>
      <c r="I600" t="str">
        <f>TRIM(C600)</f>
        <v>BTCUSD</v>
      </c>
      <c r="J600" t="e">
        <f>LEFT(#REF!,3)</f>
        <v>#REF!</v>
      </c>
    </row>
    <row r="601" spans="1:10" hidden="1" x14ac:dyDescent="0.25">
      <c r="A601" s="1">
        <v>44502</v>
      </c>
      <c r="B601" s="2" t="s">
        <v>19</v>
      </c>
      <c r="C601" s="2" t="s">
        <v>9</v>
      </c>
      <c r="D601">
        <v>61133.24</v>
      </c>
      <c r="E601">
        <v>64319</v>
      </c>
      <c r="F601">
        <v>61124.5</v>
      </c>
      <c r="G601">
        <v>63257.57</v>
      </c>
      <c r="H601">
        <v>1791.9</v>
      </c>
      <c r="I601" t="str">
        <f>TRIM(C601)</f>
        <v>BTCUSD</v>
      </c>
      <c r="J601" t="e">
        <f>LEFT(#REF!,3)</f>
        <v>#REF!</v>
      </c>
    </row>
    <row r="602" spans="1:10" hidden="1" x14ac:dyDescent="0.25">
      <c r="A602" s="1">
        <v>44300</v>
      </c>
      <c r="B602" s="2" t="s">
        <v>12</v>
      </c>
      <c r="C602" s="2" t="s">
        <v>9</v>
      </c>
      <c r="D602">
        <v>63773.18</v>
      </c>
      <c r="E602">
        <v>64900</v>
      </c>
      <c r="F602">
        <v>61303.97</v>
      </c>
      <c r="G602">
        <v>63063.72</v>
      </c>
      <c r="H602">
        <v>2922.03</v>
      </c>
      <c r="I602" t="str">
        <f>TRIM(C602)</f>
        <v>BTCUSD</v>
      </c>
      <c r="J602" t="e">
        <f>LEFT(#REF!,3)</f>
        <v>#REF!</v>
      </c>
    </row>
    <row r="603" spans="1:10" hidden="1" x14ac:dyDescent="0.25">
      <c r="A603" s="1">
        <v>44488</v>
      </c>
      <c r="B603" s="2" t="s">
        <v>18</v>
      </c>
      <c r="C603" s="2" t="s">
        <v>9</v>
      </c>
      <c r="D603">
        <v>62600</v>
      </c>
      <c r="E603">
        <v>64498.12</v>
      </c>
      <c r="F603">
        <v>61312</v>
      </c>
      <c r="G603">
        <v>63870.2</v>
      </c>
      <c r="H603">
        <v>1914.15</v>
      </c>
      <c r="I603" t="str">
        <f>TRIM(C603)</f>
        <v>BTCUSD</v>
      </c>
      <c r="J603" t="e">
        <f>LEFT(#REF!,3)</f>
        <v>#REF!</v>
      </c>
    </row>
    <row r="604" spans="1:10" hidden="1" x14ac:dyDescent="0.25">
      <c r="A604" s="1">
        <v>44490</v>
      </c>
      <c r="B604" s="2" t="s">
        <v>18</v>
      </c>
      <c r="C604" s="2" t="s">
        <v>9</v>
      </c>
      <c r="D604">
        <v>65077.99</v>
      </c>
      <c r="E604">
        <v>66643.14</v>
      </c>
      <c r="F604">
        <v>61418.02</v>
      </c>
      <c r="G604">
        <v>63243.4</v>
      </c>
      <c r="H604">
        <v>2908.73</v>
      </c>
      <c r="I604" t="str">
        <f>TRIM(C604)</f>
        <v>BTCUSD</v>
      </c>
      <c r="J604" t="e">
        <f>LEFT(#REF!,3)</f>
        <v>#REF!</v>
      </c>
    </row>
    <row r="605" spans="1:10" hidden="1" x14ac:dyDescent="0.25">
      <c r="A605" s="1">
        <v>44507</v>
      </c>
      <c r="B605" s="2" t="s">
        <v>19</v>
      </c>
      <c r="C605" s="2" t="s">
        <v>9</v>
      </c>
      <c r="D605">
        <v>62199.69</v>
      </c>
      <c r="E605">
        <v>65680</v>
      </c>
      <c r="F605">
        <v>61537.32</v>
      </c>
      <c r="G605">
        <v>65235.199999999997</v>
      </c>
      <c r="H605">
        <v>892.82</v>
      </c>
      <c r="I605" t="str">
        <f>TRIM(C605)</f>
        <v>BTCUSD</v>
      </c>
      <c r="J605" t="e">
        <f>LEFT(#REF!,3)</f>
        <v>#REF!</v>
      </c>
    </row>
    <row r="606" spans="1:10" hidden="1" x14ac:dyDescent="0.25">
      <c r="A606" s="1">
        <v>44494</v>
      </c>
      <c r="B606" s="2" t="s">
        <v>18</v>
      </c>
      <c r="C606" s="2" t="s">
        <v>9</v>
      </c>
      <c r="D606">
        <v>62091.93</v>
      </c>
      <c r="E606">
        <v>63703.3</v>
      </c>
      <c r="F606">
        <v>61822.81</v>
      </c>
      <c r="G606">
        <v>62765.47</v>
      </c>
      <c r="H606">
        <v>1477.09</v>
      </c>
      <c r="I606" t="str">
        <f>TRIM(C606)</f>
        <v>BTCUSD</v>
      </c>
      <c r="J606" t="e">
        <f>LEFT(#REF!,3)</f>
        <v>#REF!</v>
      </c>
    </row>
    <row r="607" spans="1:10" hidden="1" x14ac:dyDescent="0.25">
      <c r="A607" s="1">
        <v>44301</v>
      </c>
      <c r="B607" s="2" t="s">
        <v>12</v>
      </c>
      <c r="C607" s="2" t="s">
        <v>9</v>
      </c>
      <c r="D607">
        <v>63063.72</v>
      </c>
      <c r="E607">
        <v>63855.12</v>
      </c>
      <c r="F607">
        <v>62045</v>
      </c>
      <c r="G607">
        <v>62998.68</v>
      </c>
      <c r="H607">
        <v>1328.55</v>
      </c>
      <c r="I607" t="str">
        <f>TRIM(C607)</f>
        <v>BTCUSD</v>
      </c>
      <c r="J607" t="e">
        <f>LEFT(#REF!,3)</f>
        <v>#REF!</v>
      </c>
    </row>
    <row r="608" spans="1:10" hidden="1" x14ac:dyDescent="0.25">
      <c r="A608" s="1">
        <v>44512</v>
      </c>
      <c r="B608" s="2" t="s">
        <v>19</v>
      </c>
      <c r="C608" s="2" t="s">
        <v>9</v>
      </c>
      <c r="D608">
        <v>64857.63</v>
      </c>
      <c r="E608">
        <v>65071.49</v>
      </c>
      <c r="F608">
        <v>62875</v>
      </c>
      <c r="G608">
        <v>63805.120000000003</v>
      </c>
      <c r="H608">
        <v>1466.29</v>
      </c>
      <c r="I608" t="str">
        <f>TRIM(C608)</f>
        <v>BTCUSD</v>
      </c>
      <c r="J608" t="e">
        <f>LEFT(#REF!,3)</f>
        <v>#REF!</v>
      </c>
    </row>
    <row r="609" spans="1:10" hidden="1" x14ac:dyDescent="0.25">
      <c r="A609" s="1">
        <v>44510</v>
      </c>
      <c r="B609" s="2" t="s">
        <v>19</v>
      </c>
      <c r="C609" s="2" t="s">
        <v>9</v>
      </c>
      <c r="D609">
        <v>66491.25</v>
      </c>
      <c r="E609">
        <v>69000</v>
      </c>
      <c r="F609">
        <v>62927.97</v>
      </c>
      <c r="G609">
        <v>64785.34</v>
      </c>
      <c r="H609">
        <v>2966.58</v>
      </c>
      <c r="I609" t="str">
        <f>TRIM(C609)</f>
        <v>BTCUSD</v>
      </c>
      <c r="J609" t="e">
        <f>LEFT(#REF!,3)</f>
        <v>#REF!</v>
      </c>
    </row>
    <row r="610" spans="1:10" hidden="1" x14ac:dyDescent="0.25">
      <c r="A610" s="1">
        <v>44513</v>
      </c>
      <c r="B610" s="2" t="s">
        <v>19</v>
      </c>
      <c r="C610" s="2" t="s">
        <v>9</v>
      </c>
      <c r="D610">
        <v>63805.120000000003</v>
      </c>
      <c r="E610">
        <v>65338.87</v>
      </c>
      <c r="F610">
        <v>63409.49</v>
      </c>
      <c r="G610">
        <v>64673.279999999999</v>
      </c>
      <c r="H610">
        <v>310.01</v>
      </c>
      <c r="I610" t="str">
        <f>TRIM(C610)</f>
        <v>BTCUSD</v>
      </c>
      <c r="J610" t="e">
        <f>LEFT(#REF!,3)</f>
        <v>#REF!</v>
      </c>
    </row>
    <row r="611" spans="1:10" hidden="1" x14ac:dyDescent="0.25">
      <c r="A611" s="1">
        <v>44489</v>
      </c>
      <c r="B611" s="2" t="s">
        <v>18</v>
      </c>
      <c r="C611" s="2" t="s">
        <v>9</v>
      </c>
      <c r="D611">
        <v>63870.2</v>
      </c>
      <c r="E611">
        <v>66994.720000000001</v>
      </c>
      <c r="F611">
        <v>63540.51</v>
      </c>
      <c r="G611">
        <v>65077.99</v>
      </c>
      <c r="H611">
        <v>2836.59</v>
      </c>
      <c r="I611" t="str">
        <f>TRIM(C611)</f>
        <v>BTCUSD</v>
      </c>
      <c r="J611" t="e">
        <f>LEFT(#REF!,3)</f>
        <v>#REF!</v>
      </c>
    </row>
    <row r="612" spans="1:10" hidden="1" x14ac:dyDescent="0.25">
      <c r="A612" s="1">
        <v>44514</v>
      </c>
      <c r="B612" s="2" t="s">
        <v>19</v>
      </c>
      <c r="C612" s="2" t="s">
        <v>9</v>
      </c>
      <c r="D612">
        <v>64673.279999999999</v>
      </c>
      <c r="E612">
        <v>66200</v>
      </c>
      <c r="F612">
        <v>63602.2</v>
      </c>
      <c r="G612">
        <v>65744.179999999993</v>
      </c>
      <c r="H612">
        <v>528.5</v>
      </c>
      <c r="I612" t="str">
        <f>TRIM(C612)</f>
        <v>BTCUSD</v>
      </c>
      <c r="J612" t="e">
        <f>LEFT(#REF!,3)</f>
        <v>#REF!</v>
      </c>
    </row>
    <row r="613" spans="1:10" hidden="1" x14ac:dyDescent="0.25">
      <c r="A613" s="1">
        <v>44511</v>
      </c>
      <c r="B613" s="2" t="s">
        <v>19</v>
      </c>
      <c r="C613" s="2" t="s">
        <v>9</v>
      </c>
      <c r="D613">
        <v>64785.34</v>
      </c>
      <c r="E613">
        <v>65587</v>
      </c>
      <c r="F613">
        <v>64121</v>
      </c>
      <c r="G613">
        <v>64857.63</v>
      </c>
      <c r="H613">
        <v>1050.51</v>
      </c>
      <c r="I613" t="str">
        <f>TRIM(C613)</f>
        <v>BTCUSD</v>
      </c>
      <c r="J613" t="e">
        <f>LEFT(#REF!,3)</f>
        <v>#REF!</v>
      </c>
    </row>
    <row r="614" spans="1:10" hidden="1" x14ac:dyDescent="0.25">
      <c r="A614" s="1">
        <v>44508</v>
      </c>
      <c r="B614" s="2" t="s">
        <v>19</v>
      </c>
      <c r="C614" s="2" t="s">
        <v>9</v>
      </c>
      <c r="D614">
        <v>65235.199999999997</v>
      </c>
      <c r="E614">
        <v>68534.11</v>
      </c>
      <c r="F614">
        <v>65138</v>
      </c>
      <c r="G614">
        <v>68525.75</v>
      </c>
      <c r="H614">
        <v>1421.08</v>
      </c>
      <c r="I614" t="str">
        <f>TRIM(C614)</f>
        <v>BTCUSD</v>
      </c>
      <c r="J614" t="e">
        <f>LEFT(#REF!,3)</f>
        <v>#REF!</v>
      </c>
    </row>
    <row r="615" spans="1:10" hidden="1" x14ac:dyDescent="0.25">
      <c r="A615" s="1">
        <v>44509</v>
      </c>
      <c r="B615" s="2" t="s">
        <v>19</v>
      </c>
      <c r="C615" s="2" t="s">
        <v>9</v>
      </c>
      <c r="D615">
        <v>68525.75</v>
      </c>
      <c r="E615">
        <v>68529.52</v>
      </c>
      <c r="F615">
        <v>66262.48</v>
      </c>
      <c r="G615">
        <v>66491.25</v>
      </c>
      <c r="H615">
        <v>1229.46</v>
      </c>
      <c r="I615" t="str">
        <f>TRIM(C615)</f>
        <v>BTCUSD</v>
      </c>
      <c r="J615" t="e">
        <f>LEFT(#REF!,3)</f>
        <v>#REF!</v>
      </c>
    </row>
  </sheetData>
  <phoneticPr fontId="2" type="noConversion"/>
  <pageMargins left="0.7" right="0.7" top="0.75" bottom="0.75" header="0.3" footer="0.3"/>
  <pageSetup orientation="portrait" r:id="rId1"/>
  <ignoredErrors>
    <ignoredError sqref="J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638-C78D-3A43-B680-D7CCC5A60E03}">
  <dimension ref="B1:XFD10"/>
  <sheetViews>
    <sheetView topLeftCell="A2" workbookViewId="0">
      <selection activeCell="H13" sqref="H13"/>
    </sheetView>
  </sheetViews>
  <sheetFormatPr defaultColWidth="0" defaultRowHeight="15.75" x14ac:dyDescent="0.25"/>
  <cols>
    <col min="1" max="2" width="11" customWidth="1"/>
    <col min="3" max="3" width="14.875" bestFit="1" customWidth="1"/>
    <col min="4" max="4" width="12.875" bestFit="1" customWidth="1"/>
    <col min="5" max="5" width="11.375" bestFit="1" customWidth="1"/>
    <col min="6" max="11" width="11" customWidth="1"/>
    <col min="12" max="12" width="14.125" customWidth="1"/>
    <col min="13" max="16383" width="11" hidden="1"/>
    <col min="16384" max="16384" width="52.375" customWidth="1"/>
  </cols>
  <sheetData>
    <row r="1" spans="2:12" ht="16.5" thickBot="1" x14ac:dyDescent="0.3"/>
    <row r="2" spans="2:12" ht="26.25" x14ac:dyDescent="0.4">
      <c r="B2" s="3"/>
      <c r="C2" s="4">
        <v>2021</v>
      </c>
      <c r="D2" s="4"/>
      <c r="E2" s="5"/>
    </row>
    <row r="3" spans="2:12" ht="18.75" x14ac:dyDescent="0.3">
      <c r="B3" s="6"/>
      <c r="C3" s="7" t="s">
        <v>33</v>
      </c>
      <c r="D3" s="7" t="s">
        <v>34</v>
      </c>
      <c r="E3" s="8" t="s">
        <v>35</v>
      </c>
    </row>
    <row r="4" spans="2:12" x14ac:dyDescent="0.25">
      <c r="B4" s="6" t="s">
        <v>9</v>
      </c>
      <c r="C4" s="9">
        <v>33617.300000000003</v>
      </c>
      <c r="D4" s="9">
        <v>46806.83</v>
      </c>
      <c r="E4" s="10">
        <f>(D4-C4)/C4</f>
        <v>0.39234352550621249</v>
      </c>
    </row>
    <row r="5" spans="2:12" ht="16.5" thickBot="1" x14ac:dyDescent="0.3">
      <c r="B5" s="11" t="s">
        <v>22</v>
      </c>
      <c r="C5" s="12">
        <v>3764.61</v>
      </c>
      <c r="D5" s="12">
        <v>4766.18</v>
      </c>
      <c r="E5" s="13">
        <f>(D5-C5)/C5</f>
        <v>0.2660488071805579</v>
      </c>
    </row>
    <row r="6" spans="2:12" ht="15.75" customHeight="1" x14ac:dyDescent="0.25">
      <c r="I6" s="23" t="s">
        <v>45</v>
      </c>
      <c r="J6" s="23"/>
      <c r="K6" s="23"/>
      <c r="L6" s="23"/>
    </row>
    <row r="7" spans="2:12" ht="15.75" customHeight="1" x14ac:dyDescent="0.25">
      <c r="I7" s="23"/>
      <c r="J7" s="23"/>
      <c r="K7" s="23"/>
      <c r="L7" s="23"/>
    </row>
    <row r="8" spans="2:12" ht="15.75" customHeight="1" x14ac:dyDescent="0.25">
      <c r="I8" s="23"/>
      <c r="J8" s="23"/>
      <c r="K8" s="23"/>
      <c r="L8" s="23"/>
    </row>
    <row r="9" spans="2:12" ht="15.75" customHeight="1" x14ac:dyDescent="0.25">
      <c r="I9" s="23"/>
      <c r="J9" s="23"/>
      <c r="K9" s="23"/>
      <c r="L9" s="23"/>
    </row>
    <row r="10" spans="2:12" ht="15.75" customHeight="1" x14ac:dyDescent="0.25">
      <c r="I10" s="23"/>
      <c r="J10" s="23"/>
      <c r="K10" s="23"/>
      <c r="L10" s="23"/>
    </row>
  </sheetData>
  <mergeCells count="2">
    <mergeCell ref="C2:D2"/>
    <mergeCell ref="I6:L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E23D-975A-4886-8744-AAE08A0BBDB2}">
  <dimension ref="C2:F6"/>
  <sheetViews>
    <sheetView workbookViewId="0">
      <selection activeCell="F5" sqref="F5"/>
    </sheetView>
  </sheetViews>
  <sheetFormatPr defaultRowHeight="15.75" x14ac:dyDescent="0.25"/>
  <cols>
    <col min="4" max="4" width="13.5" bestFit="1" customWidth="1"/>
    <col min="5" max="5" width="12.75" bestFit="1" customWidth="1"/>
  </cols>
  <sheetData>
    <row r="2" spans="3:6" ht="16.5" thickBot="1" x14ac:dyDescent="0.3"/>
    <row r="3" spans="3:6" ht="26.25" x14ac:dyDescent="0.4">
      <c r="C3" s="3"/>
      <c r="D3" s="4">
        <v>2021</v>
      </c>
      <c r="E3" s="4"/>
      <c r="F3" s="5"/>
    </row>
    <row r="4" spans="3:6" ht="18.75" x14ac:dyDescent="0.3">
      <c r="C4" s="6"/>
      <c r="D4" s="7" t="s">
        <v>36</v>
      </c>
      <c r="E4" s="7" t="s">
        <v>37</v>
      </c>
      <c r="F4" s="8"/>
    </row>
    <row r="5" spans="3:6" x14ac:dyDescent="0.25">
      <c r="C5" s="6" t="s">
        <v>9</v>
      </c>
      <c r="D5" s="14">
        <v>69000</v>
      </c>
      <c r="E5" s="14">
        <v>27632.34</v>
      </c>
      <c r="F5" s="10">
        <f>E5/D5</f>
        <v>0.40046869565217391</v>
      </c>
    </row>
    <row r="6" spans="3:6" ht="16.5" thickBot="1" x14ac:dyDescent="0.3">
      <c r="C6" s="11" t="s">
        <v>22</v>
      </c>
      <c r="D6" s="15">
        <v>4808.93</v>
      </c>
      <c r="E6" s="15">
        <v>3662.71</v>
      </c>
      <c r="F6" s="10">
        <f>E6/D6</f>
        <v>0.76164760144148491</v>
      </c>
    </row>
  </sheetData>
  <mergeCells count="1">
    <mergeCell ref="D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C20D-1F12-4EE1-AA56-9CC0C47E628E}">
  <dimension ref="B3:E20"/>
  <sheetViews>
    <sheetView topLeftCell="A2" zoomScale="130" zoomScaleNormal="130" workbookViewId="0">
      <selection activeCell="F5" sqref="F5"/>
    </sheetView>
  </sheetViews>
  <sheetFormatPr defaultRowHeight="15.75" x14ac:dyDescent="0.25"/>
  <cols>
    <col min="1" max="1" width="15.125" bestFit="1" customWidth="1"/>
    <col min="2" max="2" width="15.25" bestFit="1" customWidth="1"/>
    <col min="3" max="13" width="11.875" bestFit="1" customWidth="1"/>
    <col min="14" max="14" width="9.875" bestFit="1" customWidth="1"/>
    <col min="15" max="25" width="11.875" bestFit="1" customWidth="1"/>
  </cols>
  <sheetData>
    <row r="3" spans="2:5" x14ac:dyDescent="0.25">
      <c r="B3" s="24" t="s">
        <v>46</v>
      </c>
      <c r="C3" s="24"/>
      <c r="D3" s="24"/>
      <c r="E3" s="24"/>
    </row>
    <row r="4" spans="2:5" x14ac:dyDescent="0.25">
      <c r="B4" s="24"/>
      <c r="C4" s="24"/>
      <c r="D4" s="24"/>
      <c r="E4" s="24"/>
    </row>
    <row r="6" spans="2:5" x14ac:dyDescent="0.25">
      <c r="B6" s="16" t="s">
        <v>38</v>
      </c>
      <c r="C6" s="16" t="s">
        <v>41</v>
      </c>
    </row>
    <row r="7" spans="2:5" x14ac:dyDescent="0.25">
      <c r="B7" s="16" t="s">
        <v>39</v>
      </c>
      <c r="C7" t="s">
        <v>9</v>
      </c>
      <c r="D7" t="s">
        <v>22</v>
      </c>
      <c r="E7" t="s">
        <v>40</v>
      </c>
    </row>
    <row r="8" spans="2:5" x14ac:dyDescent="0.25">
      <c r="B8" s="17" t="s">
        <v>8</v>
      </c>
      <c r="C8" s="19">
        <v>34834.917142857143</v>
      </c>
      <c r="D8" s="19">
        <v>3793.7484210526318</v>
      </c>
      <c r="E8" s="19">
        <v>22286.359574468086</v>
      </c>
    </row>
    <row r="9" spans="2:5" x14ac:dyDescent="0.25">
      <c r="B9" s="17" t="s">
        <v>10</v>
      </c>
      <c r="C9" s="19">
        <v>46419.369642857149</v>
      </c>
      <c r="D9" s="19">
        <v>3883.4321052631581</v>
      </c>
      <c r="E9" s="19">
        <v>29223.990638297873</v>
      </c>
    </row>
    <row r="10" spans="2:5" x14ac:dyDescent="0.25">
      <c r="B10" s="17" t="s">
        <v>11</v>
      </c>
      <c r="C10" s="19">
        <v>54755.574516129032</v>
      </c>
      <c r="D10" s="19">
        <v>3910.5082608695652</v>
      </c>
      <c r="E10" s="19">
        <v>33099.342592592591</v>
      </c>
    </row>
    <row r="11" spans="2:5" x14ac:dyDescent="0.25">
      <c r="B11" s="17" t="s">
        <v>12</v>
      </c>
      <c r="C11" s="19">
        <v>57053.804666666663</v>
      </c>
      <c r="D11" s="19">
        <v>4141.1761904761906</v>
      </c>
      <c r="E11" s="19">
        <v>35266.251764705885</v>
      </c>
    </row>
    <row r="12" spans="2:5" x14ac:dyDescent="0.25">
      <c r="B12" s="17" t="s">
        <v>13</v>
      </c>
      <c r="C12" s="19">
        <v>46391.942580645162</v>
      </c>
      <c r="D12" s="19">
        <v>4167.8495000000003</v>
      </c>
      <c r="E12" s="19">
        <v>29833.474705882352</v>
      </c>
    </row>
    <row r="13" spans="2:5" x14ac:dyDescent="0.25">
      <c r="B13" s="17" t="s">
        <v>14</v>
      </c>
      <c r="C13" s="19">
        <v>35718.237000000001</v>
      </c>
      <c r="D13" s="19">
        <v>4238.4895454545458</v>
      </c>
      <c r="E13" s="19">
        <v>22399.882307692307</v>
      </c>
    </row>
    <row r="14" spans="2:5" x14ac:dyDescent="0.25">
      <c r="B14" s="17" t="s">
        <v>15</v>
      </c>
      <c r="C14" s="19">
        <v>34427.995806451618</v>
      </c>
      <c r="D14" s="19">
        <v>4363.7128571428575</v>
      </c>
      <c r="E14" s="19">
        <v>22286.650769230771</v>
      </c>
    </row>
    <row r="15" spans="2:5" x14ac:dyDescent="0.25">
      <c r="B15" s="17" t="s">
        <v>16</v>
      </c>
      <c r="C15" s="19">
        <v>45619.235161290322</v>
      </c>
      <c r="D15" s="19">
        <v>4453.965909090909</v>
      </c>
      <c r="E15" s="19">
        <v>28531.764905660377</v>
      </c>
    </row>
    <row r="16" spans="2:5" x14ac:dyDescent="0.25">
      <c r="B16" s="17" t="s">
        <v>17</v>
      </c>
      <c r="C16" s="19">
        <v>46034.195333333337</v>
      </c>
      <c r="D16" s="19">
        <v>4445.5433333333331</v>
      </c>
      <c r="E16" s="19">
        <v>28909.456274509805</v>
      </c>
    </row>
    <row r="17" spans="2:5" x14ac:dyDescent="0.25">
      <c r="B17" s="17" t="s">
        <v>18</v>
      </c>
      <c r="C17" s="19">
        <v>58089.664516129036</v>
      </c>
      <c r="D17" s="19">
        <v>4460.7071428571435</v>
      </c>
      <c r="E17" s="19">
        <v>36431.816346153842</v>
      </c>
    </row>
    <row r="18" spans="2:5" x14ac:dyDescent="0.25">
      <c r="B18" s="17" t="s">
        <v>19</v>
      </c>
      <c r="C18" s="19">
        <v>60560.541333333334</v>
      </c>
      <c r="D18" s="19">
        <v>4667.3866666666663</v>
      </c>
      <c r="E18" s="19">
        <v>37545.712941176469</v>
      </c>
    </row>
    <row r="19" spans="2:5" x14ac:dyDescent="0.25">
      <c r="B19" s="17" t="s">
        <v>20</v>
      </c>
      <c r="C19" s="19">
        <v>49299.97516129032</v>
      </c>
      <c r="D19" s="19">
        <v>4674.772727272727</v>
      </c>
      <c r="E19" s="19">
        <v>30776.306226415094</v>
      </c>
    </row>
    <row r="20" spans="2:5" x14ac:dyDescent="0.25">
      <c r="B20" s="17" t="s">
        <v>40</v>
      </c>
      <c r="C20" s="2">
        <v>47519.998342541432</v>
      </c>
      <c r="D20" s="2">
        <v>4273.3856349206344</v>
      </c>
      <c r="E20" s="2">
        <v>29770.574234527685</v>
      </c>
    </row>
  </sheetData>
  <mergeCells count="1">
    <mergeCell ref="B3:E4"/>
  </mergeCells>
  <conditionalFormatting pivot="1" sqref="D8:D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:C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8:E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259A-BCAD-4CE7-B013-13414247E7F6}">
  <dimension ref="A2:L367"/>
  <sheetViews>
    <sheetView tabSelected="1" workbookViewId="0">
      <selection activeCell="P7" sqref="P7"/>
    </sheetView>
  </sheetViews>
  <sheetFormatPr defaultRowHeight="15.75" x14ac:dyDescent="0.25"/>
  <cols>
    <col min="1" max="1" width="12.375" bestFit="1" customWidth="1"/>
    <col min="2" max="2" width="15.25" bestFit="1" customWidth="1"/>
    <col min="3" max="3" width="10.875" bestFit="1" customWidth="1"/>
    <col min="4" max="5" width="11.875" bestFit="1" customWidth="1"/>
  </cols>
  <sheetData>
    <row r="2" spans="1:12" ht="15.75" customHeight="1" x14ac:dyDescent="0.25">
      <c r="F2" s="24" t="s">
        <v>47</v>
      </c>
      <c r="G2" s="24"/>
      <c r="H2" s="24"/>
      <c r="I2" s="24"/>
      <c r="J2" s="24"/>
      <c r="K2" s="24"/>
      <c r="L2" s="24"/>
    </row>
    <row r="3" spans="1:12" ht="15.75" customHeight="1" x14ac:dyDescent="0.25">
      <c r="A3" s="16" t="s">
        <v>42</v>
      </c>
      <c r="B3" s="16" t="s">
        <v>41</v>
      </c>
      <c r="F3" s="24"/>
      <c r="G3" s="24"/>
      <c r="H3" s="24"/>
      <c r="I3" s="24"/>
      <c r="J3" s="24"/>
      <c r="K3" s="24"/>
      <c r="L3" s="24"/>
    </row>
    <row r="4" spans="1:12" x14ac:dyDescent="0.25">
      <c r="A4" s="16" t="s">
        <v>39</v>
      </c>
      <c r="B4" t="s">
        <v>9</v>
      </c>
      <c r="C4" t="s">
        <v>22</v>
      </c>
      <c r="D4" t="s">
        <v>40</v>
      </c>
      <c r="F4" s="25"/>
      <c r="G4" s="25"/>
      <c r="H4" s="25"/>
      <c r="I4" s="25"/>
      <c r="J4" s="25"/>
    </row>
    <row r="5" spans="1:12" x14ac:dyDescent="0.25">
      <c r="A5" s="18">
        <v>44200</v>
      </c>
      <c r="B5" s="2">
        <v>33669</v>
      </c>
      <c r="C5" s="2">
        <v>3769.99</v>
      </c>
      <c r="D5" s="2">
        <v>37438.99</v>
      </c>
    </row>
    <row r="6" spans="1:12" x14ac:dyDescent="0.25">
      <c r="A6" s="18">
        <v>44201</v>
      </c>
      <c r="B6" s="2">
        <v>34536.29</v>
      </c>
      <c r="C6" s="2">
        <v>3737.83</v>
      </c>
      <c r="D6" s="2">
        <v>38274.120000000003</v>
      </c>
    </row>
    <row r="7" spans="1:12" x14ac:dyDescent="0.25">
      <c r="A7" s="18">
        <v>44202</v>
      </c>
      <c r="B7" s="2">
        <v>37824.480000000003</v>
      </c>
      <c r="C7" s="2">
        <v>3783.04</v>
      </c>
      <c r="D7" s="2">
        <v>41607.520000000004</v>
      </c>
    </row>
    <row r="8" spans="1:12" x14ac:dyDescent="0.25">
      <c r="A8" s="18">
        <v>44203</v>
      </c>
      <c r="B8" s="2">
        <v>40396</v>
      </c>
      <c r="C8" s="2">
        <v>3811.55</v>
      </c>
      <c r="D8" s="2">
        <v>44207.55</v>
      </c>
    </row>
    <row r="9" spans="1:12" x14ac:dyDescent="0.25">
      <c r="A9" s="18">
        <v>44204</v>
      </c>
      <c r="B9" s="2">
        <v>41999.99</v>
      </c>
      <c r="C9" s="2">
        <v>3826.69</v>
      </c>
      <c r="D9" s="2">
        <v>45826.68</v>
      </c>
    </row>
    <row r="10" spans="1:12" x14ac:dyDescent="0.25">
      <c r="A10" s="18">
        <v>44205</v>
      </c>
      <c r="B10" s="2">
        <v>41470.21</v>
      </c>
      <c r="C10" s="2"/>
      <c r="D10" s="2">
        <v>41470.21</v>
      </c>
    </row>
    <row r="11" spans="1:12" x14ac:dyDescent="0.25">
      <c r="A11" s="18">
        <v>44206</v>
      </c>
      <c r="B11" s="2">
        <v>41196.620000000003</v>
      </c>
      <c r="C11" s="2"/>
      <c r="D11" s="2">
        <v>41196.620000000003</v>
      </c>
    </row>
    <row r="12" spans="1:12" x14ac:dyDescent="0.25">
      <c r="A12" s="18">
        <v>44207</v>
      </c>
      <c r="B12" s="2">
        <v>36323.25</v>
      </c>
      <c r="C12" s="2">
        <v>3817.86</v>
      </c>
      <c r="D12" s="2">
        <v>40141.11</v>
      </c>
    </row>
    <row r="13" spans="1:12" x14ac:dyDescent="0.25">
      <c r="A13" s="18">
        <v>44208</v>
      </c>
      <c r="B13" s="2">
        <v>36651.339999999997</v>
      </c>
      <c r="C13" s="2">
        <v>3810.78</v>
      </c>
      <c r="D13" s="2">
        <v>40462.119999999995</v>
      </c>
    </row>
    <row r="14" spans="1:12" x14ac:dyDescent="0.25">
      <c r="A14" s="18">
        <v>44209</v>
      </c>
      <c r="B14" s="2">
        <v>38188.33</v>
      </c>
      <c r="C14" s="2">
        <v>3820.96</v>
      </c>
      <c r="D14" s="2">
        <v>42009.29</v>
      </c>
    </row>
    <row r="15" spans="1:12" x14ac:dyDescent="0.25">
      <c r="A15" s="18">
        <v>44210</v>
      </c>
      <c r="B15" s="2">
        <v>40112.79</v>
      </c>
      <c r="C15" s="2">
        <v>3823.6</v>
      </c>
      <c r="D15" s="2">
        <v>43936.39</v>
      </c>
    </row>
    <row r="16" spans="1:12" x14ac:dyDescent="0.25">
      <c r="A16" s="18">
        <v>44211</v>
      </c>
      <c r="B16" s="2">
        <v>38849.96</v>
      </c>
      <c r="C16" s="2">
        <v>3788.73</v>
      </c>
      <c r="D16" s="2">
        <v>42638.69</v>
      </c>
    </row>
    <row r="17" spans="1:4" x14ac:dyDescent="0.25">
      <c r="A17" s="18">
        <v>44212</v>
      </c>
      <c r="B17" s="2">
        <v>37949.71</v>
      </c>
      <c r="C17" s="2"/>
      <c r="D17" s="2">
        <v>37949.71</v>
      </c>
    </row>
    <row r="18" spans="1:4" x14ac:dyDescent="0.25">
      <c r="A18" s="18">
        <v>44213</v>
      </c>
      <c r="B18" s="2">
        <v>36840.11</v>
      </c>
      <c r="C18" s="2"/>
      <c r="D18" s="2">
        <v>36840.11</v>
      </c>
    </row>
    <row r="19" spans="1:4" x14ac:dyDescent="0.25">
      <c r="A19" s="18">
        <v>44214</v>
      </c>
      <c r="B19" s="2">
        <v>37469.21</v>
      </c>
      <c r="C19" s="2"/>
      <c r="D19" s="2">
        <v>37469.21</v>
      </c>
    </row>
    <row r="20" spans="1:4" x14ac:dyDescent="0.25">
      <c r="A20" s="18">
        <v>44215</v>
      </c>
      <c r="B20" s="2">
        <v>37934.199999999997</v>
      </c>
      <c r="C20" s="2">
        <v>3804.53</v>
      </c>
      <c r="D20" s="2">
        <v>41738.729999999996</v>
      </c>
    </row>
    <row r="21" spans="1:4" x14ac:dyDescent="0.25">
      <c r="A21" s="18">
        <v>44216</v>
      </c>
      <c r="B21" s="2">
        <v>35964.949999999997</v>
      </c>
      <c r="C21" s="2">
        <v>3859.75</v>
      </c>
      <c r="D21" s="2">
        <v>39824.699999999997</v>
      </c>
    </row>
    <row r="22" spans="1:4" x14ac:dyDescent="0.25">
      <c r="A22" s="18">
        <v>44217</v>
      </c>
      <c r="B22" s="2">
        <v>35000</v>
      </c>
      <c r="C22" s="2">
        <v>3861.45</v>
      </c>
      <c r="D22" s="2">
        <v>38861.449999999997</v>
      </c>
    </row>
    <row r="23" spans="1:4" x14ac:dyDescent="0.25">
      <c r="A23" s="18">
        <v>44218</v>
      </c>
      <c r="B23" s="2">
        <v>33880</v>
      </c>
      <c r="C23" s="2">
        <v>3852.31</v>
      </c>
      <c r="D23" s="2">
        <v>37732.31</v>
      </c>
    </row>
    <row r="24" spans="1:4" x14ac:dyDescent="0.25">
      <c r="A24" s="18">
        <v>44219</v>
      </c>
      <c r="B24" s="2">
        <v>33479.49</v>
      </c>
      <c r="C24" s="2"/>
      <c r="D24" s="2">
        <v>33479.49</v>
      </c>
    </row>
    <row r="25" spans="1:4" x14ac:dyDescent="0.25">
      <c r="A25" s="18">
        <v>44220</v>
      </c>
      <c r="B25" s="2">
        <v>33672.18</v>
      </c>
      <c r="C25" s="2"/>
      <c r="D25" s="2">
        <v>33672.18</v>
      </c>
    </row>
    <row r="26" spans="1:4" x14ac:dyDescent="0.25">
      <c r="A26" s="18">
        <v>44221</v>
      </c>
      <c r="B26" s="2">
        <v>34885.56</v>
      </c>
      <c r="C26" s="2">
        <v>3859.23</v>
      </c>
      <c r="D26" s="2">
        <v>38744.79</v>
      </c>
    </row>
    <row r="27" spans="1:4" x14ac:dyDescent="0.25">
      <c r="A27" s="18">
        <v>44222</v>
      </c>
      <c r="B27" s="2">
        <v>32951</v>
      </c>
      <c r="C27" s="2">
        <v>3870.9</v>
      </c>
      <c r="D27" s="2">
        <v>36821.9</v>
      </c>
    </row>
    <row r="28" spans="1:4" x14ac:dyDescent="0.25">
      <c r="A28" s="18">
        <v>44223</v>
      </c>
      <c r="B28" s="2">
        <v>32059.73</v>
      </c>
      <c r="C28" s="2">
        <v>3836.83</v>
      </c>
      <c r="D28" s="2">
        <v>35896.559999999998</v>
      </c>
    </row>
    <row r="29" spans="1:4" x14ac:dyDescent="0.25">
      <c r="A29" s="18">
        <v>44224</v>
      </c>
      <c r="B29" s="2">
        <v>34671.769999999997</v>
      </c>
      <c r="C29" s="2">
        <v>3830.5</v>
      </c>
      <c r="D29" s="2">
        <v>38502.269999999997</v>
      </c>
    </row>
    <row r="30" spans="1:4" x14ac:dyDescent="0.25">
      <c r="A30" s="18">
        <v>44225</v>
      </c>
      <c r="B30" s="2">
        <v>38665.71</v>
      </c>
      <c r="C30" s="2">
        <v>3778.05</v>
      </c>
      <c r="D30" s="2">
        <v>42443.76</v>
      </c>
    </row>
    <row r="31" spans="1:4" x14ac:dyDescent="0.25">
      <c r="A31" s="18">
        <v>44226</v>
      </c>
      <c r="B31" s="2">
        <v>34805.65</v>
      </c>
      <c r="C31" s="2"/>
      <c r="D31" s="2">
        <v>34805.65</v>
      </c>
    </row>
    <row r="32" spans="1:4" x14ac:dyDescent="0.25">
      <c r="A32" s="18">
        <v>44227</v>
      </c>
      <c r="B32" s="2">
        <v>34205</v>
      </c>
      <c r="C32" s="2"/>
      <c r="D32" s="2">
        <v>34205</v>
      </c>
    </row>
    <row r="33" spans="1:4" x14ac:dyDescent="0.25">
      <c r="A33" s="18">
        <v>44228</v>
      </c>
      <c r="B33" s="2">
        <v>34700</v>
      </c>
      <c r="C33" s="2">
        <v>3784.32</v>
      </c>
      <c r="D33" s="2">
        <v>38484.32</v>
      </c>
    </row>
    <row r="34" spans="1:4" x14ac:dyDescent="0.25">
      <c r="A34" s="18">
        <v>44229</v>
      </c>
      <c r="B34" s="2">
        <v>36545.050000000003</v>
      </c>
      <c r="C34" s="2">
        <v>3843.09</v>
      </c>
      <c r="D34" s="2">
        <v>40388.14</v>
      </c>
    </row>
    <row r="35" spans="1:4" x14ac:dyDescent="0.25">
      <c r="A35" s="18">
        <v>44230</v>
      </c>
      <c r="B35" s="2">
        <v>38375</v>
      </c>
      <c r="C35" s="2">
        <v>3847.51</v>
      </c>
      <c r="D35" s="2">
        <v>42222.51</v>
      </c>
    </row>
    <row r="36" spans="1:4" x14ac:dyDescent="0.25">
      <c r="A36" s="18">
        <v>44231</v>
      </c>
      <c r="B36" s="2">
        <v>38785.99</v>
      </c>
      <c r="C36" s="2">
        <v>3872.42</v>
      </c>
      <c r="D36" s="2">
        <v>42658.409999999996</v>
      </c>
    </row>
    <row r="37" spans="1:4" x14ac:dyDescent="0.25">
      <c r="A37" s="18">
        <v>44232</v>
      </c>
      <c r="B37" s="2">
        <v>39700</v>
      </c>
      <c r="C37" s="2">
        <v>3894.56</v>
      </c>
      <c r="D37" s="2">
        <v>43594.559999999998</v>
      </c>
    </row>
    <row r="38" spans="1:4" x14ac:dyDescent="0.25">
      <c r="A38" s="18">
        <v>44233</v>
      </c>
      <c r="B38" s="2">
        <v>41000</v>
      </c>
      <c r="C38" s="2"/>
      <c r="D38" s="2">
        <v>41000</v>
      </c>
    </row>
    <row r="39" spans="1:4" x14ac:dyDescent="0.25">
      <c r="A39" s="18">
        <v>44234</v>
      </c>
      <c r="B39" s="2">
        <v>39748.959999999999</v>
      </c>
      <c r="C39" s="2"/>
      <c r="D39" s="2">
        <v>39748.959999999999</v>
      </c>
    </row>
    <row r="40" spans="1:4" x14ac:dyDescent="0.25">
      <c r="A40" s="18">
        <v>44235</v>
      </c>
      <c r="B40" s="2">
        <v>47519.31</v>
      </c>
      <c r="C40" s="2">
        <v>3915.77</v>
      </c>
      <c r="D40" s="2">
        <v>51435.079999999994</v>
      </c>
    </row>
    <row r="41" spans="1:4" x14ac:dyDescent="0.25">
      <c r="A41" s="18">
        <v>44236</v>
      </c>
      <c r="B41" s="2">
        <v>48201.23</v>
      </c>
      <c r="C41" s="2">
        <v>3918.35</v>
      </c>
      <c r="D41" s="2">
        <v>52119.58</v>
      </c>
    </row>
    <row r="42" spans="1:4" x14ac:dyDescent="0.25">
      <c r="A42" s="18">
        <v>44237</v>
      </c>
      <c r="B42" s="2">
        <v>47367.17</v>
      </c>
      <c r="C42" s="2">
        <v>3931.5</v>
      </c>
      <c r="D42" s="2">
        <v>51298.67</v>
      </c>
    </row>
    <row r="43" spans="1:4" x14ac:dyDescent="0.25">
      <c r="A43" s="18">
        <v>44238</v>
      </c>
      <c r="B43" s="2">
        <v>48975</v>
      </c>
      <c r="C43" s="2">
        <v>3925.99</v>
      </c>
      <c r="D43" s="2">
        <v>52900.99</v>
      </c>
    </row>
    <row r="44" spans="1:4" x14ac:dyDescent="0.25">
      <c r="A44" s="18">
        <v>44239</v>
      </c>
      <c r="B44" s="2">
        <v>48246.6</v>
      </c>
      <c r="C44" s="2">
        <v>3937.23</v>
      </c>
      <c r="D44" s="2">
        <v>52183.83</v>
      </c>
    </row>
    <row r="45" spans="1:4" x14ac:dyDescent="0.25">
      <c r="A45" s="18">
        <v>44240</v>
      </c>
      <c r="B45" s="2">
        <v>48027.3</v>
      </c>
      <c r="C45" s="2"/>
      <c r="D45" s="2">
        <v>48027.3</v>
      </c>
    </row>
    <row r="46" spans="1:4" x14ac:dyDescent="0.25">
      <c r="A46" s="18">
        <v>44241</v>
      </c>
      <c r="B46" s="2">
        <v>49700</v>
      </c>
      <c r="C46" s="2"/>
      <c r="D46" s="2">
        <v>49700</v>
      </c>
    </row>
    <row r="47" spans="1:4" x14ac:dyDescent="0.25">
      <c r="A47" s="18">
        <v>44242</v>
      </c>
      <c r="B47" s="2">
        <v>49600</v>
      </c>
      <c r="C47" s="2"/>
      <c r="D47" s="2">
        <v>49600</v>
      </c>
    </row>
    <row r="48" spans="1:4" x14ac:dyDescent="0.25">
      <c r="A48" s="18">
        <v>44243</v>
      </c>
      <c r="B48" s="2">
        <v>50602.34</v>
      </c>
      <c r="C48" s="2">
        <v>3950.43</v>
      </c>
      <c r="D48" s="2">
        <v>54552.77</v>
      </c>
    </row>
    <row r="49" spans="1:4" x14ac:dyDescent="0.25">
      <c r="A49" s="18">
        <v>44244</v>
      </c>
      <c r="B49" s="2">
        <v>52668.45</v>
      </c>
      <c r="C49" s="2">
        <v>3933.61</v>
      </c>
      <c r="D49" s="2">
        <v>56602.06</v>
      </c>
    </row>
    <row r="50" spans="1:4" x14ac:dyDescent="0.25">
      <c r="A50" s="18">
        <v>44245</v>
      </c>
      <c r="B50" s="2">
        <v>52344</v>
      </c>
      <c r="C50" s="2">
        <v>3921.98</v>
      </c>
      <c r="D50" s="2">
        <v>56265.98</v>
      </c>
    </row>
    <row r="51" spans="1:4" x14ac:dyDescent="0.25">
      <c r="A51" s="18">
        <v>44246</v>
      </c>
      <c r="B51" s="2">
        <v>56605.599999999999</v>
      </c>
      <c r="C51" s="2">
        <v>3930.41</v>
      </c>
      <c r="D51" s="2">
        <v>60536.009999999995</v>
      </c>
    </row>
    <row r="52" spans="1:4" x14ac:dyDescent="0.25">
      <c r="A52" s="18">
        <v>44247</v>
      </c>
      <c r="B52" s="2">
        <v>57500</v>
      </c>
      <c r="C52" s="2"/>
      <c r="D52" s="2">
        <v>57500</v>
      </c>
    </row>
    <row r="53" spans="1:4" x14ac:dyDescent="0.25">
      <c r="A53" s="18">
        <v>44248</v>
      </c>
      <c r="B53" s="2">
        <v>58481.599999999999</v>
      </c>
      <c r="C53" s="2"/>
      <c r="D53" s="2">
        <v>58481.599999999999</v>
      </c>
    </row>
    <row r="54" spans="1:4" x14ac:dyDescent="0.25">
      <c r="A54" s="18">
        <v>44249</v>
      </c>
      <c r="B54" s="2">
        <v>56651.47</v>
      </c>
      <c r="C54" s="2">
        <v>3902.92</v>
      </c>
      <c r="D54" s="2">
        <v>60554.39</v>
      </c>
    </row>
    <row r="55" spans="1:4" x14ac:dyDescent="0.25">
      <c r="A55" s="18">
        <v>44250</v>
      </c>
      <c r="B55" s="2">
        <v>52294.87</v>
      </c>
      <c r="C55" s="2">
        <v>3895.98</v>
      </c>
      <c r="D55" s="2">
        <v>56190.850000000006</v>
      </c>
    </row>
    <row r="56" spans="1:4" x14ac:dyDescent="0.25">
      <c r="A56" s="18">
        <v>44251</v>
      </c>
      <c r="B56" s="2">
        <v>51442.01</v>
      </c>
      <c r="C56" s="2">
        <v>3928.65</v>
      </c>
      <c r="D56" s="2">
        <v>55370.66</v>
      </c>
    </row>
    <row r="57" spans="1:4" x14ac:dyDescent="0.25">
      <c r="A57" s="18">
        <v>44252</v>
      </c>
      <c r="B57" s="2">
        <v>52074</v>
      </c>
      <c r="C57" s="2">
        <v>3925.02</v>
      </c>
      <c r="D57" s="2">
        <v>55999.02</v>
      </c>
    </row>
    <row r="58" spans="1:4" x14ac:dyDescent="0.25">
      <c r="A58" s="18">
        <v>44253</v>
      </c>
      <c r="B58" s="2">
        <v>48472.08</v>
      </c>
      <c r="C58" s="2">
        <v>3861.08</v>
      </c>
      <c r="D58" s="2">
        <v>52333.16</v>
      </c>
    </row>
    <row r="59" spans="1:4" x14ac:dyDescent="0.25">
      <c r="A59" s="18">
        <v>44254</v>
      </c>
      <c r="B59" s="2">
        <v>48380.14</v>
      </c>
      <c r="C59" s="2"/>
      <c r="D59" s="2">
        <v>48380.14</v>
      </c>
    </row>
    <row r="60" spans="1:4" x14ac:dyDescent="0.25">
      <c r="A60" s="18">
        <v>44255</v>
      </c>
      <c r="B60" s="2">
        <v>46920</v>
      </c>
      <c r="C60" s="2"/>
      <c r="D60" s="2">
        <v>46920</v>
      </c>
    </row>
    <row r="61" spans="1:4" x14ac:dyDescent="0.25">
      <c r="A61" s="18">
        <v>44256</v>
      </c>
      <c r="B61" s="2"/>
      <c r="C61" s="2">
        <v>3914.5</v>
      </c>
      <c r="D61" s="2">
        <v>3914.5</v>
      </c>
    </row>
    <row r="62" spans="1:4" x14ac:dyDescent="0.25">
      <c r="A62" s="18">
        <v>44257</v>
      </c>
      <c r="B62" s="2">
        <v>49757.22</v>
      </c>
      <c r="C62" s="2">
        <v>3906.41</v>
      </c>
      <c r="D62" s="2">
        <v>53663.630000000005</v>
      </c>
    </row>
    <row r="63" spans="1:4" x14ac:dyDescent="0.25">
      <c r="A63" s="18">
        <v>44258</v>
      </c>
      <c r="B63" s="2">
        <v>52737.2</v>
      </c>
      <c r="C63" s="2">
        <v>3874.47</v>
      </c>
      <c r="D63" s="2">
        <v>56611.67</v>
      </c>
    </row>
    <row r="64" spans="1:4" x14ac:dyDescent="0.25">
      <c r="A64" s="18">
        <v>44259</v>
      </c>
      <c r="B64" s="2">
        <v>50754.39</v>
      </c>
      <c r="C64" s="2">
        <v>3843.67</v>
      </c>
      <c r="D64" s="2">
        <v>54598.06</v>
      </c>
    </row>
    <row r="65" spans="1:4" x14ac:dyDescent="0.25">
      <c r="A65" s="18">
        <v>44260</v>
      </c>
      <c r="B65" s="2">
        <v>49455.61</v>
      </c>
      <c r="C65" s="2">
        <v>3851.69</v>
      </c>
      <c r="D65" s="2">
        <v>53307.3</v>
      </c>
    </row>
    <row r="66" spans="1:4" x14ac:dyDescent="0.25">
      <c r="A66" s="18">
        <v>44261</v>
      </c>
      <c r="B66" s="2">
        <v>49915.73</v>
      </c>
      <c r="C66" s="2"/>
      <c r="D66" s="2">
        <v>49915.73</v>
      </c>
    </row>
    <row r="67" spans="1:4" x14ac:dyDescent="0.25">
      <c r="A67" s="18">
        <v>44262</v>
      </c>
      <c r="B67" s="2">
        <v>51832.15</v>
      </c>
      <c r="C67" s="2"/>
      <c r="D67" s="2">
        <v>51832.15</v>
      </c>
    </row>
    <row r="68" spans="1:4" x14ac:dyDescent="0.25">
      <c r="A68" s="18">
        <v>44263</v>
      </c>
      <c r="B68" s="2">
        <v>54126</v>
      </c>
      <c r="C68" s="2">
        <v>3881.06</v>
      </c>
      <c r="D68" s="2">
        <v>58007.06</v>
      </c>
    </row>
    <row r="69" spans="1:4" x14ac:dyDescent="0.25">
      <c r="A69" s="18">
        <v>44264</v>
      </c>
      <c r="B69" s="2">
        <v>55847.68</v>
      </c>
      <c r="C69" s="2">
        <v>3903.76</v>
      </c>
      <c r="D69" s="2">
        <v>59751.44</v>
      </c>
    </row>
    <row r="70" spans="1:4" x14ac:dyDescent="0.25">
      <c r="A70" s="18">
        <v>44265</v>
      </c>
      <c r="B70" s="2">
        <v>57400</v>
      </c>
      <c r="C70" s="2">
        <v>3917.35</v>
      </c>
      <c r="D70" s="2">
        <v>61317.35</v>
      </c>
    </row>
    <row r="71" spans="1:4" x14ac:dyDescent="0.25">
      <c r="A71" s="18">
        <v>44266</v>
      </c>
      <c r="B71" s="2">
        <v>58120</v>
      </c>
      <c r="C71" s="2">
        <v>3960.27</v>
      </c>
      <c r="D71" s="2">
        <v>62080.27</v>
      </c>
    </row>
    <row r="72" spans="1:4" x14ac:dyDescent="0.25">
      <c r="A72" s="18">
        <v>44267</v>
      </c>
      <c r="B72" s="2">
        <v>57959.22</v>
      </c>
      <c r="C72" s="2">
        <v>3944.99</v>
      </c>
      <c r="D72" s="2">
        <v>61904.21</v>
      </c>
    </row>
    <row r="73" spans="1:4" x14ac:dyDescent="0.25">
      <c r="A73" s="18">
        <v>44268</v>
      </c>
      <c r="B73" s="2">
        <v>61785</v>
      </c>
      <c r="C73" s="2"/>
      <c r="D73" s="2">
        <v>61785</v>
      </c>
    </row>
    <row r="74" spans="1:4" x14ac:dyDescent="0.25">
      <c r="A74" s="18">
        <v>44269</v>
      </c>
      <c r="B74" s="2">
        <v>61500.82</v>
      </c>
      <c r="C74" s="2"/>
      <c r="D74" s="2">
        <v>61500.82</v>
      </c>
    </row>
    <row r="75" spans="1:4" x14ac:dyDescent="0.25">
      <c r="A75" s="18">
        <v>44270</v>
      </c>
      <c r="B75" s="2">
        <v>60561.59</v>
      </c>
      <c r="C75" s="2">
        <v>3970.08</v>
      </c>
      <c r="D75" s="2">
        <v>64531.67</v>
      </c>
    </row>
    <row r="76" spans="1:4" x14ac:dyDescent="0.25">
      <c r="A76" s="18">
        <v>44271</v>
      </c>
      <c r="B76" s="2">
        <v>57185.78</v>
      </c>
      <c r="C76" s="2">
        <v>3981.04</v>
      </c>
      <c r="D76" s="2">
        <v>61166.82</v>
      </c>
    </row>
    <row r="77" spans="1:4" x14ac:dyDescent="0.25">
      <c r="A77" s="18">
        <v>44272</v>
      </c>
      <c r="B77" s="2">
        <v>59567.59</v>
      </c>
      <c r="C77" s="2">
        <v>3983.87</v>
      </c>
      <c r="D77" s="2">
        <v>63551.46</v>
      </c>
    </row>
    <row r="78" spans="1:4" x14ac:dyDescent="0.25">
      <c r="A78" s="18">
        <v>44273</v>
      </c>
      <c r="B78" s="2">
        <v>60099.99</v>
      </c>
      <c r="C78" s="2">
        <v>3969.62</v>
      </c>
      <c r="D78" s="2">
        <v>64069.61</v>
      </c>
    </row>
    <row r="79" spans="1:4" x14ac:dyDescent="0.25">
      <c r="A79" s="18">
        <v>44274</v>
      </c>
      <c r="B79" s="2">
        <v>59448.39</v>
      </c>
      <c r="C79" s="2">
        <v>3930.12</v>
      </c>
      <c r="D79" s="2">
        <v>63378.51</v>
      </c>
    </row>
    <row r="80" spans="1:4" x14ac:dyDescent="0.25">
      <c r="A80" s="18">
        <v>44275</v>
      </c>
      <c r="B80" s="2">
        <v>59880</v>
      </c>
      <c r="C80" s="2"/>
      <c r="D80" s="2">
        <v>59880</v>
      </c>
    </row>
    <row r="81" spans="1:4" x14ac:dyDescent="0.25">
      <c r="A81" s="18">
        <v>44276</v>
      </c>
      <c r="B81" s="2">
        <v>58164.58</v>
      </c>
      <c r="C81" s="2"/>
      <c r="D81" s="2">
        <v>58164.58</v>
      </c>
    </row>
    <row r="82" spans="1:4" x14ac:dyDescent="0.25">
      <c r="A82" s="18">
        <v>44277</v>
      </c>
      <c r="B82" s="2">
        <v>58445.36</v>
      </c>
      <c r="C82" s="2">
        <v>3955.31</v>
      </c>
      <c r="D82" s="2">
        <v>62400.67</v>
      </c>
    </row>
    <row r="83" spans="1:4" x14ac:dyDescent="0.25">
      <c r="A83" s="18">
        <v>44278</v>
      </c>
      <c r="B83" s="2">
        <v>55903.62</v>
      </c>
      <c r="C83" s="2">
        <v>3949.13</v>
      </c>
      <c r="D83" s="2">
        <v>59852.75</v>
      </c>
    </row>
    <row r="84" spans="1:4" x14ac:dyDescent="0.25">
      <c r="A84" s="18">
        <v>44279</v>
      </c>
      <c r="B84" s="2">
        <v>57245</v>
      </c>
      <c r="C84" s="2">
        <v>3942.08</v>
      </c>
      <c r="D84" s="2">
        <v>61187.08</v>
      </c>
    </row>
    <row r="85" spans="1:4" x14ac:dyDescent="0.25">
      <c r="A85" s="18">
        <v>44280</v>
      </c>
      <c r="B85" s="2">
        <v>53234.52</v>
      </c>
      <c r="C85" s="2">
        <v>3919.54</v>
      </c>
      <c r="D85" s="2">
        <v>57154.06</v>
      </c>
    </row>
    <row r="86" spans="1:4" x14ac:dyDescent="0.25">
      <c r="A86" s="18">
        <v>44281</v>
      </c>
      <c r="B86" s="2">
        <v>55627.21</v>
      </c>
      <c r="C86" s="2">
        <v>3978.19</v>
      </c>
      <c r="D86" s="2">
        <v>59605.4</v>
      </c>
    </row>
    <row r="87" spans="1:4" x14ac:dyDescent="0.25">
      <c r="A87" s="18">
        <v>44282</v>
      </c>
      <c r="B87" s="2">
        <v>56624.33</v>
      </c>
      <c r="C87" s="2"/>
      <c r="D87" s="2">
        <v>56624.33</v>
      </c>
    </row>
    <row r="88" spans="1:4" x14ac:dyDescent="0.25">
      <c r="A88" s="18">
        <v>44283</v>
      </c>
      <c r="B88" s="2">
        <v>56576.23</v>
      </c>
      <c r="C88" s="2"/>
      <c r="D88" s="2">
        <v>56576.23</v>
      </c>
    </row>
    <row r="89" spans="1:4" x14ac:dyDescent="0.25">
      <c r="A89" s="18">
        <v>44284</v>
      </c>
      <c r="B89" s="2">
        <v>58430.77</v>
      </c>
      <c r="C89" s="2">
        <v>3981.83</v>
      </c>
      <c r="D89" s="2">
        <v>62412.6</v>
      </c>
    </row>
    <row r="90" spans="1:4" x14ac:dyDescent="0.25">
      <c r="A90" s="18">
        <v>44285</v>
      </c>
      <c r="B90" s="2">
        <v>59385</v>
      </c>
      <c r="C90" s="2">
        <v>3968.01</v>
      </c>
      <c r="D90" s="2">
        <v>63353.01</v>
      </c>
    </row>
    <row r="91" spans="1:4" x14ac:dyDescent="0.25">
      <c r="A91" s="18">
        <v>44286</v>
      </c>
      <c r="B91" s="2">
        <v>59800</v>
      </c>
      <c r="C91" s="2">
        <v>3994.41</v>
      </c>
      <c r="D91" s="2">
        <v>63794.41</v>
      </c>
    </row>
    <row r="92" spans="1:4" x14ac:dyDescent="0.25">
      <c r="A92" s="18">
        <v>44287</v>
      </c>
      <c r="B92" s="2">
        <v>60100</v>
      </c>
      <c r="C92" s="2">
        <v>4020.63</v>
      </c>
      <c r="D92" s="2">
        <v>64120.63</v>
      </c>
    </row>
    <row r="93" spans="1:4" x14ac:dyDescent="0.25">
      <c r="A93" s="18">
        <v>44288</v>
      </c>
      <c r="B93" s="2">
        <v>59950</v>
      </c>
      <c r="C93" s="2"/>
      <c r="D93" s="2">
        <v>59950</v>
      </c>
    </row>
    <row r="94" spans="1:4" x14ac:dyDescent="0.25">
      <c r="A94" s="18">
        <v>44289</v>
      </c>
      <c r="B94" s="2">
        <v>59851.519999999997</v>
      </c>
      <c r="C94" s="2"/>
      <c r="D94" s="2">
        <v>59851.519999999997</v>
      </c>
    </row>
    <row r="95" spans="1:4" x14ac:dyDescent="0.25">
      <c r="A95" s="18">
        <v>44290</v>
      </c>
      <c r="B95" s="2">
        <v>58500.94</v>
      </c>
      <c r="C95" s="2"/>
      <c r="D95" s="2">
        <v>58500.94</v>
      </c>
    </row>
    <row r="96" spans="1:4" x14ac:dyDescent="0.25">
      <c r="A96" s="18">
        <v>44291</v>
      </c>
      <c r="B96" s="2">
        <v>59468.95</v>
      </c>
      <c r="C96" s="2">
        <v>4083.42</v>
      </c>
      <c r="D96" s="2">
        <v>63552.369999999995</v>
      </c>
    </row>
    <row r="97" spans="1:4" x14ac:dyDescent="0.25">
      <c r="A97" s="18">
        <v>44292</v>
      </c>
      <c r="B97" s="2">
        <v>59028.19</v>
      </c>
      <c r="C97" s="2">
        <v>4086.23</v>
      </c>
      <c r="D97" s="2">
        <v>63114.420000000006</v>
      </c>
    </row>
    <row r="98" spans="1:4" x14ac:dyDescent="0.25">
      <c r="A98" s="18">
        <v>44293</v>
      </c>
      <c r="B98" s="2">
        <v>58675.79</v>
      </c>
      <c r="C98" s="2">
        <v>4083.13</v>
      </c>
      <c r="D98" s="2">
        <v>62758.92</v>
      </c>
    </row>
    <row r="99" spans="1:4" x14ac:dyDescent="0.25">
      <c r="A99" s="18">
        <v>44294</v>
      </c>
      <c r="B99" s="2">
        <v>58400</v>
      </c>
      <c r="C99" s="2">
        <v>4098.1899999999996</v>
      </c>
      <c r="D99" s="2">
        <v>62498.19</v>
      </c>
    </row>
    <row r="100" spans="1:4" x14ac:dyDescent="0.25">
      <c r="A100" s="18">
        <v>44295</v>
      </c>
      <c r="B100" s="2">
        <v>59170</v>
      </c>
      <c r="C100" s="2">
        <v>4129.4799999999996</v>
      </c>
      <c r="D100" s="2">
        <v>63299.479999999996</v>
      </c>
    </row>
    <row r="101" spans="1:4" x14ac:dyDescent="0.25">
      <c r="A101" s="18">
        <v>44296</v>
      </c>
      <c r="B101" s="2">
        <v>61180</v>
      </c>
      <c r="C101" s="2"/>
      <c r="D101" s="2">
        <v>61180</v>
      </c>
    </row>
    <row r="102" spans="1:4" x14ac:dyDescent="0.25">
      <c r="A102" s="18">
        <v>44297</v>
      </c>
      <c r="B102" s="2">
        <v>60416.42</v>
      </c>
      <c r="C102" s="2"/>
      <c r="D102" s="2">
        <v>60416.42</v>
      </c>
    </row>
    <row r="103" spans="1:4" x14ac:dyDescent="0.25">
      <c r="A103" s="18">
        <v>44298</v>
      </c>
      <c r="B103" s="2">
        <v>61197.09</v>
      </c>
      <c r="C103" s="2">
        <v>4131.76</v>
      </c>
      <c r="D103" s="2">
        <v>65328.85</v>
      </c>
    </row>
    <row r="104" spans="1:4" x14ac:dyDescent="0.25">
      <c r="A104" s="18">
        <v>44299</v>
      </c>
      <c r="B104" s="2">
        <v>63880</v>
      </c>
      <c r="C104" s="2">
        <v>4148</v>
      </c>
      <c r="D104" s="2">
        <v>68028</v>
      </c>
    </row>
    <row r="105" spans="1:4" x14ac:dyDescent="0.25">
      <c r="A105" s="18">
        <v>44300</v>
      </c>
      <c r="B105" s="2">
        <v>64900</v>
      </c>
      <c r="C105" s="2">
        <v>4151.6899999999996</v>
      </c>
      <c r="D105" s="2">
        <v>69051.69</v>
      </c>
    </row>
    <row r="106" spans="1:4" x14ac:dyDescent="0.25">
      <c r="A106" s="18">
        <v>44301</v>
      </c>
      <c r="B106" s="2">
        <v>63855.12</v>
      </c>
      <c r="C106" s="2">
        <v>4173.49</v>
      </c>
      <c r="D106" s="2">
        <v>68028.61</v>
      </c>
    </row>
    <row r="107" spans="1:4" x14ac:dyDescent="0.25">
      <c r="A107" s="18">
        <v>44302</v>
      </c>
      <c r="B107" s="2">
        <v>62998.68</v>
      </c>
      <c r="C107" s="2">
        <v>4191.3100000000004</v>
      </c>
      <c r="D107" s="2">
        <v>67189.990000000005</v>
      </c>
    </row>
    <row r="108" spans="1:4" x14ac:dyDescent="0.25">
      <c r="A108" s="18">
        <v>44303</v>
      </c>
      <c r="B108" s="2">
        <v>62545.78</v>
      </c>
      <c r="C108" s="2"/>
      <c r="D108" s="2">
        <v>62545.78</v>
      </c>
    </row>
    <row r="109" spans="1:4" x14ac:dyDescent="0.25">
      <c r="A109" s="18">
        <v>44304</v>
      </c>
      <c r="B109" s="2">
        <v>57404.04</v>
      </c>
      <c r="C109" s="2"/>
      <c r="D109" s="2">
        <v>57404.04</v>
      </c>
    </row>
    <row r="110" spans="1:4" x14ac:dyDescent="0.25">
      <c r="A110" s="18">
        <v>44305</v>
      </c>
      <c r="B110" s="2">
        <v>57624.66</v>
      </c>
      <c r="C110" s="2">
        <v>4180.8100000000004</v>
      </c>
      <c r="D110" s="2">
        <v>61805.47</v>
      </c>
    </row>
    <row r="111" spans="1:4" x14ac:dyDescent="0.25">
      <c r="A111" s="18">
        <v>44306</v>
      </c>
      <c r="B111" s="2">
        <v>57145.34</v>
      </c>
      <c r="C111" s="2">
        <v>4159.18</v>
      </c>
      <c r="D111" s="2">
        <v>61304.52</v>
      </c>
    </row>
    <row r="112" spans="1:4" x14ac:dyDescent="0.25">
      <c r="A112" s="18">
        <v>44307</v>
      </c>
      <c r="B112" s="2">
        <v>56373</v>
      </c>
      <c r="C112" s="2">
        <v>4175.0200000000004</v>
      </c>
      <c r="D112" s="2">
        <v>60548.020000000004</v>
      </c>
    </row>
    <row r="113" spans="1:4" x14ac:dyDescent="0.25">
      <c r="A113" s="18">
        <v>44308</v>
      </c>
      <c r="B113" s="2">
        <v>55499.99</v>
      </c>
      <c r="C113" s="2">
        <v>4179.57</v>
      </c>
      <c r="D113" s="2">
        <v>59679.56</v>
      </c>
    </row>
    <row r="114" spans="1:4" x14ac:dyDescent="0.25">
      <c r="A114" s="18">
        <v>44309</v>
      </c>
      <c r="B114" s="2">
        <v>51380.03</v>
      </c>
      <c r="C114" s="2">
        <v>4194.17</v>
      </c>
      <c r="D114" s="2">
        <v>55574.2</v>
      </c>
    </row>
    <row r="115" spans="1:4" x14ac:dyDescent="0.25">
      <c r="A115" s="18">
        <v>44310</v>
      </c>
      <c r="B115" s="2">
        <v>51150.01</v>
      </c>
      <c r="C115" s="2"/>
      <c r="D115" s="2">
        <v>51150.01</v>
      </c>
    </row>
    <row r="116" spans="1:4" x14ac:dyDescent="0.25">
      <c r="A116" s="18">
        <v>44311</v>
      </c>
      <c r="B116" s="2">
        <v>52567.77</v>
      </c>
      <c r="C116" s="2"/>
      <c r="D116" s="2">
        <v>52567.77</v>
      </c>
    </row>
    <row r="117" spans="1:4" x14ac:dyDescent="0.25">
      <c r="A117" s="18">
        <v>44312</v>
      </c>
      <c r="B117" s="2">
        <v>54419.57</v>
      </c>
      <c r="C117" s="2">
        <v>4194.1899999999996</v>
      </c>
      <c r="D117" s="2">
        <v>58613.760000000002</v>
      </c>
    </row>
    <row r="118" spans="1:4" x14ac:dyDescent="0.25">
      <c r="A118" s="18">
        <v>44313</v>
      </c>
      <c r="B118" s="2">
        <v>55800</v>
      </c>
      <c r="C118" s="2">
        <v>4193.3500000000004</v>
      </c>
      <c r="D118" s="2">
        <v>59993.35</v>
      </c>
    </row>
    <row r="119" spans="1:4" x14ac:dyDescent="0.25">
      <c r="A119" s="18">
        <v>44314</v>
      </c>
      <c r="B119" s="2">
        <v>56474.720000000001</v>
      </c>
      <c r="C119" s="2">
        <v>4201.53</v>
      </c>
      <c r="D119" s="2">
        <v>60676.25</v>
      </c>
    </row>
    <row r="120" spans="1:4" x14ac:dyDescent="0.25">
      <c r="A120" s="18">
        <v>44315</v>
      </c>
      <c r="B120" s="2">
        <v>54755.360000000001</v>
      </c>
      <c r="C120" s="2">
        <v>4218.78</v>
      </c>
      <c r="D120" s="2">
        <v>58974.14</v>
      </c>
    </row>
    <row r="121" spans="1:4" x14ac:dyDescent="0.25">
      <c r="A121" s="18">
        <v>44316</v>
      </c>
      <c r="B121" s="2">
        <v>58553.71</v>
      </c>
      <c r="C121" s="2">
        <v>4198.1000000000004</v>
      </c>
      <c r="D121" s="2">
        <v>62751.81</v>
      </c>
    </row>
    <row r="122" spans="1:4" x14ac:dyDescent="0.25">
      <c r="A122" s="18">
        <v>44317</v>
      </c>
      <c r="B122" s="2"/>
      <c r="C122" s="2"/>
      <c r="D122" s="2"/>
    </row>
    <row r="123" spans="1:4" x14ac:dyDescent="0.25">
      <c r="A123" s="18">
        <v>44318</v>
      </c>
      <c r="B123" s="2">
        <v>58293.35</v>
      </c>
      <c r="C123" s="2"/>
      <c r="D123" s="2">
        <v>58293.35</v>
      </c>
    </row>
    <row r="124" spans="1:4" x14ac:dyDescent="0.25">
      <c r="A124" s="18">
        <v>44319</v>
      </c>
      <c r="B124" s="2">
        <v>58988.52</v>
      </c>
      <c r="C124" s="2">
        <v>4209.3900000000003</v>
      </c>
      <c r="D124" s="2">
        <v>63197.909999999996</v>
      </c>
    </row>
    <row r="125" spans="1:4" x14ac:dyDescent="0.25">
      <c r="A125" s="18">
        <v>44320</v>
      </c>
      <c r="B125" s="2">
        <v>56659.5</v>
      </c>
      <c r="C125" s="2">
        <v>4179.04</v>
      </c>
      <c r="D125" s="2">
        <v>60838.54</v>
      </c>
    </row>
    <row r="126" spans="1:4" x14ac:dyDescent="0.25">
      <c r="A126" s="18">
        <v>44321</v>
      </c>
      <c r="B126" s="2">
        <v>57974.07</v>
      </c>
      <c r="C126" s="2">
        <v>4187.72</v>
      </c>
      <c r="D126" s="2">
        <v>62161.79</v>
      </c>
    </row>
    <row r="127" spans="1:4" x14ac:dyDescent="0.25">
      <c r="A127" s="18">
        <v>44322</v>
      </c>
      <c r="B127" s="2">
        <v>58465.93</v>
      </c>
      <c r="C127" s="2">
        <v>4202.7</v>
      </c>
      <c r="D127" s="2">
        <v>62668.63</v>
      </c>
    </row>
    <row r="128" spans="1:4" x14ac:dyDescent="0.25">
      <c r="A128" s="18">
        <v>44323</v>
      </c>
      <c r="B128" s="2">
        <v>58750</v>
      </c>
      <c r="C128" s="2">
        <v>4238.04</v>
      </c>
      <c r="D128" s="2">
        <v>62988.04</v>
      </c>
    </row>
    <row r="129" spans="1:4" x14ac:dyDescent="0.25">
      <c r="A129" s="18">
        <v>44324</v>
      </c>
      <c r="B129" s="2">
        <v>59560</v>
      </c>
      <c r="C129" s="2"/>
      <c r="D129" s="2">
        <v>59560</v>
      </c>
    </row>
    <row r="130" spans="1:4" x14ac:dyDescent="0.25">
      <c r="A130" s="18">
        <v>44325</v>
      </c>
      <c r="B130" s="2">
        <v>59481.34</v>
      </c>
      <c r="C130" s="2"/>
      <c r="D130" s="2">
        <v>59481.34</v>
      </c>
    </row>
    <row r="131" spans="1:4" x14ac:dyDescent="0.25">
      <c r="A131" s="18">
        <v>44326</v>
      </c>
      <c r="B131" s="2">
        <v>59584.99</v>
      </c>
      <c r="C131" s="2">
        <v>4236.3900000000003</v>
      </c>
      <c r="D131" s="2">
        <v>63821.38</v>
      </c>
    </row>
    <row r="132" spans="1:4" x14ac:dyDescent="0.25">
      <c r="A132" s="18">
        <v>44327</v>
      </c>
      <c r="B132" s="2">
        <v>57898</v>
      </c>
      <c r="C132" s="2">
        <v>4162.04</v>
      </c>
      <c r="D132" s="2">
        <v>62060.04</v>
      </c>
    </row>
    <row r="133" spans="1:4" x14ac:dyDescent="0.25">
      <c r="A133" s="18">
        <v>44328</v>
      </c>
      <c r="B133" s="2">
        <v>57998.26</v>
      </c>
      <c r="C133" s="2">
        <v>4134.7299999999996</v>
      </c>
      <c r="D133" s="2">
        <v>62132.990000000005</v>
      </c>
    </row>
    <row r="134" spans="1:4" x14ac:dyDescent="0.25">
      <c r="A134" s="18">
        <v>44329</v>
      </c>
      <c r="B134" s="2">
        <v>51389.95</v>
      </c>
      <c r="C134" s="2">
        <v>4131.58</v>
      </c>
      <c r="D134" s="2">
        <v>55521.53</v>
      </c>
    </row>
    <row r="135" spans="1:4" x14ac:dyDescent="0.25">
      <c r="A135" s="18">
        <v>44330</v>
      </c>
      <c r="B135" s="2">
        <v>51575.16</v>
      </c>
      <c r="C135" s="2">
        <v>4183.13</v>
      </c>
      <c r="D135" s="2">
        <v>55758.29</v>
      </c>
    </row>
    <row r="136" spans="1:4" x14ac:dyDescent="0.25">
      <c r="A136" s="18">
        <v>44331</v>
      </c>
      <c r="B136" s="2">
        <v>49900</v>
      </c>
      <c r="C136" s="2"/>
      <c r="D136" s="2">
        <v>49900</v>
      </c>
    </row>
    <row r="137" spans="1:4" x14ac:dyDescent="0.25">
      <c r="A137" s="18">
        <v>44332</v>
      </c>
      <c r="B137" s="2">
        <v>49790</v>
      </c>
      <c r="C137" s="2"/>
      <c r="D137" s="2">
        <v>49790</v>
      </c>
    </row>
    <row r="138" spans="1:4" x14ac:dyDescent="0.25">
      <c r="A138" s="18">
        <v>44333</v>
      </c>
      <c r="B138" s="2">
        <v>45833.48</v>
      </c>
      <c r="C138" s="2">
        <v>4171.92</v>
      </c>
      <c r="D138" s="2">
        <v>50005.4</v>
      </c>
    </row>
    <row r="139" spans="1:4" x14ac:dyDescent="0.25">
      <c r="A139" s="18">
        <v>44334</v>
      </c>
      <c r="B139" s="2">
        <v>45860.17</v>
      </c>
      <c r="C139" s="2">
        <v>4169.1499999999996</v>
      </c>
      <c r="D139" s="2">
        <v>50029.32</v>
      </c>
    </row>
    <row r="140" spans="1:4" x14ac:dyDescent="0.25">
      <c r="A140" s="18">
        <v>44335</v>
      </c>
      <c r="B140" s="2">
        <v>40867.4</v>
      </c>
      <c r="C140" s="2">
        <v>4116.93</v>
      </c>
      <c r="D140" s="2">
        <v>44984.33</v>
      </c>
    </row>
    <row r="141" spans="1:4" x14ac:dyDescent="0.25">
      <c r="A141" s="18">
        <v>44336</v>
      </c>
      <c r="B141" s="2">
        <v>42625.43</v>
      </c>
      <c r="C141" s="2">
        <v>4172.8</v>
      </c>
      <c r="D141" s="2">
        <v>46798.23</v>
      </c>
    </row>
    <row r="142" spans="1:4" x14ac:dyDescent="0.25">
      <c r="A142" s="18">
        <v>44337</v>
      </c>
      <c r="B142" s="2">
        <v>41796.74</v>
      </c>
      <c r="C142" s="2">
        <v>4188.72</v>
      </c>
      <c r="D142" s="2">
        <v>45985.46</v>
      </c>
    </row>
    <row r="143" spans="1:4" x14ac:dyDescent="0.25">
      <c r="A143" s="18">
        <v>44338</v>
      </c>
      <c r="B143" s="2">
        <v>38861.15</v>
      </c>
      <c r="C143" s="2"/>
      <c r="D143" s="2">
        <v>38861.15</v>
      </c>
    </row>
    <row r="144" spans="1:4" x14ac:dyDescent="0.25">
      <c r="A144" s="18">
        <v>44339</v>
      </c>
      <c r="B144" s="2">
        <v>37484.18</v>
      </c>
      <c r="C144" s="2"/>
      <c r="D144" s="2">
        <v>37484.18</v>
      </c>
    </row>
    <row r="145" spans="1:4" x14ac:dyDescent="0.25">
      <c r="A145" s="18">
        <v>44340</v>
      </c>
      <c r="B145" s="2">
        <v>39953.65</v>
      </c>
      <c r="C145" s="2">
        <v>4209.5200000000004</v>
      </c>
      <c r="D145" s="2">
        <v>44163.17</v>
      </c>
    </row>
    <row r="146" spans="1:4" x14ac:dyDescent="0.25">
      <c r="A146" s="18">
        <v>44341</v>
      </c>
      <c r="B146" s="2">
        <v>39760.959999999999</v>
      </c>
      <c r="C146" s="2">
        <v>4213.42</v>
      </c>
      <c r="D146" s="2">
        <v>43974.38</v>
      </c>
    </row>
    <row r="147" spans="1:4" x14ac:dyDescent="0.25">
      <c r="A147" s="18">
        <v>44342</v>
      </c>
      <c r="B147" s="2">
        <v>40861.199999999997</v>
      </c>
      <c r="C147" s="2">
        <v>4202.6099999999997</v>
      </c>
      <c r="D147" s="2">
        <v>45063.81</v>
      </c>
    </row>
    <row r="148" spans="1:4" x14ac:dyDescent="0.25">
      <c r="A148" s="18">
        <v>44343</v>
      </c>
      <c r="B148" s="2">
        <v>40432.400000000001</v>
      </c>
      <c r="C148" s="2">
        <v>4213.38</v>
      </c>
      <c r="D148" s="2">
        <v>44645.78</v>
      </c>
    </row>
    <row r="149" spans="1:4" x14ac:dyDescent="0.25">
      <c r="A149" s="18">
        <v>44344</v>
      </c>
      <c r="B149" s="2">
        <v>38271.589999999997</v>
      </c>
      <c r="C149" s="2">
        <v>4218.3599999999997</v>
      </c>
      <c r="D149" s="2">
        <v>42489.95</v>
      </c>
    </row>
    <row r="150" spans="1:4" x14ac:dyDescent="0.25">
      <c r="A150" s="18">
        <v>44345</v>
      </c>
      <c r="B150" s="2">
        <v>37320</v>
      </c>
      <c r="C150" s="2"/>
      <c r="D150" s="2">
        <v>37320</v>
      </c>
    </row>
    <row r="151" spans="1:4" x14ac:dyDescent="0.25">
      <c r="A151" s="18">
        <v>44346</v>
      </c>
      <c r="B151" s="2">
        <v>36523.24</v>
      </c>
      <c r="C151" s="2"/>
      <c r="D151" s="2">
        <v>36523.24</v>
      </c>
    </row>
    <row r="152" spans="1:4" x14ac:dyDescent="0.25">
      <c r="A152" s="18">
        <v>44347</v>
      </c>
      <c r="B152" s="2">
        <v>37912.870000000003</v>
      </c>
      <c r="C152" s="2"/>
      <c r="D152" s="2">
        <v>37912.870000000003</v>
      </c>
    </row>
    <row r="153" spans="1:4" x14ac:dyDescent="0.25">
      <c r="A153" s="18">
        <v>44348</v>
      </c>
      <c r="B153" s="2">
        <v>37448.019999999997</v>
      </c>
      <c r="C153" s="2">
        <v>4234.12</v>
      </c>
      <c r="D153" s="2">
        <v>41682.14</v>
      </c>
    </row>
    <row r="154" spans="1:4" x14ac:dyDescent="0.25">
      <c r="A154" s="18">
        <v>44349</v>
      </c>
      <c r="B154" s="2">
        <v>38256.400000000001</v>
      </c>
      <c r="C154" s="2">
        <v>4217.37</v>
      </c>
      <c r="D154" s="2">
        <v>42473.770000000004</v>
      </c>
    </row>
    <row r="155" spans="1:4" x14ac:dyDescent="0.25">
      <c r="A155" s="18">
        <v>44350</v>
      </c>
      <c r="B155" s="2">
        <v>39487.910000000003</v>
      </c>
      <c r="C155" s="2">
        <v>4204.3900000000003</v>
      </c>
      <c r="D155" s="2">
        <v>43692.3</v>
      </c>
    </row>
    <row r="156" spans="1:4" x14ac:dyDescent="0.25">
      <c r="A156" s="18">
        <v>44351</v>
      </c>
      <c r="B156" s="2">
        <v>37963.61</v>
      </c>
      <c r="C156" s="2">
        <v>4233.45</v>
      </c>
      <c r="D156" s="2">
        <v>42197.06</v>
      </c>
    </row>
    <row r="157" spans="1:4" x14ac:dyDescent="0.25">
      <c r="A157" s="18">
        <v>44352</v>
      </c>
      <c r="B157" s="2">
        <v>37918.57</v>
      </c>
      <c r="C157" s="2"/>
      <c r="D157" s="2">
        <v>37918.57</v>
      </c>
    </row>
    <row r="158" spans="1:4" x14ac:dyDescent="0.25">
      <c r="A158" s="18">
        <v>44353</v>
      </c>
      <c r="B158" s="2">
        <v>36812.089999999997</v>
      </c>
      <c r="C158" s="2"/>
      <c r="D158" s="2">
        <v>36812.089999999997</v>
      </c>
    </row>
    <row r="159" spans="1:4" x14ac:dyDescent="0.25">
      <c r="A159" s="18">
        <v>44354</v>
      </c>
      <c r="B159" s="2">
        <v>36798.03</v>
      </c>
      <c r="C159" s="2">
        <v>4232.34</v>
      </c>
      <c r="D159" s="2">
        <v>41030.369999999995</v>
      </c>
    </row>
    <row r="160" spans="1:4" x14ac:dyDescent="0.25">
      <c r="A160" s="18">
        <v>44355</v>
      </c>
      <c r="B160" s="2">
        <v>33841.46</v>
      </c>
      <c r="C160" s="2">
        <v>4236.74</v>
      </c>
      <c r="D160" s="2">
        <v>38078.199999999997</v>
      </c>
    </row>
    <row r="161" spans="1:4" x14ac:dyDescent="0.25">
      <c r="A161" s="18">
        <v>44356</v>
      </c>
      <c r="B161" s="2">
        <v>37676.6</v>
      </c>
      <c r="C161" s="2">
        <v>4237.09</v>
      </c>
      <c r="D161" s="2">
        <v>41913.69</v>
      </c>
    </row>
    <row r="162" spans="1:4" x14ac:dyDescent="0.25">
      <c r="A162" s="18">
        <v>44357</v>
      </c>
      <c r="B162" s="2">
        <v>38437.019999999997</v>
      </c>
      <c r="C162" s="2">
        <v>4249.74</v>
      </c>
      <c r="D162" s="2">
        <v>42686.759999999995</v>
      </c>
    </row>
    <row r="163" spans="1:4" x14ac:dyDescent="0.25">
      <c r="A163" s="18">
        <v>44358</v>
      </c>
      <c r="B163" s="2">
        <v>37690</v>
      </c>
      <c r="C163" s="2">
        <v>4248.38</v>
      </c>
      <c r="D163" s="2">
        <v>41938.379999999997</v>
      </c>
    </row>
    <row r="164" spans="1:4" x14ac:dyDescent="0.25">
      <c r="A164" s="18">
        <v>44359</v>
      </c>
      <c r="B164" s="2">
        <v>36222.800000000003</v>
      </c>
      <c r="C164" s="2"/>
      <c r="D164" s="2">
        <v>36222.800000000003</v>
      </c>
    </row>
    <row r="165" spans="1:4" x14ac:dyDescent="0.25">
      <c r="A165" s="18">
        <v>44360</v>
      </c>
      <c r="B165" s="2">
        <v>39816.720000000001</v>
      </c>
      <c r="C165" s="2"/>
      <c r="D165" s="2">
        <v>39816.720000000001</v>
      </c>
    </row>
    <row r="166" spans="1:4" x14ac:dyDescent="0.25">
      <c r="A166" s="18">
        <v>44361</v>
      </c>
      <c r="B166" s="2">
        <v>41060.769999999997</v>
      </c>
      <c r="C166" s="2">
        <v>4255.59</v>
      </c>
      <c r="D166" s="2">
        <v>45316.36</v>
      </c>
    </row>
    <row r="167" spans="1:4" x14ac:dyDescent="0.25">
      <c r="A167" s="18">
        <v>44362</v>
      </c>
      <c r="B167" s="2">
        <v>41380.019999999997</v>
      </c>
      <c r="C167" s="2">
        <v>4257.16</v>
      </c>
      <c r="D167" s="2">
        <v>45637.179999999993</v>
      </c>
    </row>
    <row r="168" spans="1:4" x14ac:dyDescent="0.25">
      <c r="A168" s="18">
        <v>44363</v>
      </c>
      <c r="B168" s="2">
        <v>40490.019999999997</v>
      </c>
      <c r="C168" s="2">
        <v>4251.8900000000003</v>
      </c>
      <c r="D168" s="2">
        <v>44741.909999999996</v>
      </c>
    </row>
    <row r="169" spans="1:4" x14ac:dyDescent="0.25">
      <c r="A169" s="18">
        <v>44364</v>
      </c>
      <c r="B169" s="2">
        <v>39575.03</v>
      </c>
      <c r="C169" s="2">
        <v>4232.29</v>
      </c>
      <c r="D169" s="2">
        <v>43807.32</v>
      </c>
    </row>
    <row r="170" spans="1:4" x14ac:dyDescent="0.25">
      <c r="A170" s="18">
        <v>44365</v>
      </c>
      <c r="B170" s="2">
        <v>38129.089999999997</v>
      </c>
      <c r="C170" s="2">
        <v>4204.78</v>
      </c>
      <c r="D170" s="2">
        <v>42333.869999999995</v>
      </c>
    </row>
    <row r="171" spans="1:4" x14ac:dyDescent="0.25">
      <c r="A171" s="18">
        <v>44366</v>
      </c>
      <c r="B171" s="2">
        <v>36464.629999999997</v>
      </c>
      <c r="C171" s="2"/>
      <c r="D171" s="2">
        <v>36464.629999999997</v>
      </c>
    </row>
    <row r="172" spans="1:4" x14ac:dyDescent="0.25">
      <c r="A172" s="18">
        <v>44367</v>
      </c>
      <c r="B172" s="2">
        <v>36128.129999999997</v>
      </c>
      <c r="C172" s="2"/>
      <c r="D172" s="2">
        <v>36128.129999999997</v>
      </c>
    </row>
    <row r="173" spans="1:4" x14ac:dyDescent="0.25">
      <c r="A173" s="18">
        <v>44368</v>
      </c>
      <c r="B173" s="2">
        <v>34702.68</v>
      </c>
      <c r="C173" s="2">
        <v>4226.24</v>
      </c>
      <c r="D173" s="2">
        <v>38928.92</v>
      </c>
    </row>
    <row r="174" spans="1:4" x14ac:dyDescent="0.25">
      <c r="A174" s="18">
        <v>44369</v>
      </c>
      <c r="B174" s="2">
        <v>34392.050000000003</v>
      </c>
      <c r="C174" s="2">
        <v>4255.84</v>
      </c>
      <c r="D174" s="2">
        <v>38647.89</v>
      </c>
    </row>
    <row r="175" spans="1:4" x14ac:dyDescent="0.25">
      <c r="A175" s="18">
        <v>44370</v>
      </c>
      <c r="B175" s="2">
        <v>34851.199999999997</v>
      </c>
      <c r="C175" s="2">
        <v>4256.6000000000004</v>
      </c>
      <c r="D175" s="2">
        <v>39107.799999999996</v>
      </c>
    </row>
    <row r="176" spans="1:4" x14ac:dyDescent="0.25">
      <c r="A176" s="18">
        <v>44371</v>
      </c>
      <c r="B176" s="2">
        <v>35274.9</v>
      </c>
      <c r="C176" s="2">
        <v>4271.28</v>
      </c>
      <c r="D176" s="2">
        <v>39546.18</v>
      </c>
    </row>
    <row r="177" spans="1:4" x14ac:dyDescent="0.25">
      <c r="A177" s="18">
        <v>44372</v>
      </c>
      <c r="B177" s="2">
        <v>35100</v>
      </c>
      <c r="C177" s="2">
        <v>4286.12</v>
      </c>
      <c r="D177" s="2">
        <v>39386.120000000003</v>
      </c>
    </row>
    <row r="178" spans="1:4" x14ac:dyDescent="0.25">
      <c r="A178" s="18">
        <v>44373</v>
      </c>
      <c r="B178" s="2">
        <v>33209.589999999997</v>
      </c>
      <c r="C178" s="2"/>
      <c r="D178" s="2">
        <v>33209.589999999997</v>
      </c>
    </row>
    <row r="179" spans="1:4" x14ac:dyDescent="0.25">
      <c r="A179" s="18">
        <v>44374</v>
      </c>
      <c r="B179" s="2">
        <v>34983.42</v>
      </c>
      <c r="C179" s="2"/>
      <c r="D179" s="2">
        <v>34983.42</v>
      </c>
    </row>
    <row r="180" spans="1:4" x14ac:dyDescent="0.25">
      <c r="A180" s="18">
        <v>44375</v>
      </c>
      <c r="B180" s="2">
        <v>35286.03</v>
      </c>
      <c r="C180" s="2">
        <v>4292.1400000000003</v>
      </c>
      <c r="D180" s="2">
        <v>39578.17</v>
      </c>
    </row>
    <row r="181" spans="1:4" x14ac:dyDescent="0.25">
      <c r="A181" s="18">
        <v>44376</v>
      </c>
      <c r="B181" s="2">
        <v>36661.800000000003</v>
      </c>
      <c r="C181" s="2">
        <v>4300.5200000000004</v>
      </c>
      <c r="D181" s="2">
        <v>40962.320000000007</v>
      </c>
    </row>
    <row r="182" spans="1:4" x14ac:dyDescent="0.25">
      <c r="A182" s="18">
        <v>44377</v>
      </c>
      <c r="B182" s="2">
        <v>35333.25</v>
      </c>
      <c r="C182" s="2">
        <v>4302.43</v>
      </c>
      <c r="D182" s="2">
        <v>39635.68</v>
      </c>
    </row>
    <row r="183" spans="1:4" x14ac:dyDescent="0.25">
      <c r="A183" s="18">
        <v>44378</v>
      </c>
      <c r="B183" s="2">
        <v>34475.550000000003</v>
      </c>
      <c r="C183" s="2">
        <v>4320.66</v>
      </c>
      <c r="D183" s="2">
        <v>38796.210000000006</v>
      </c>
    </row>
    <row r="184" spans="1:4" x14ac:dyDescent="0.25">
      <c r="A184" s="18">
        <v>44379</v>
      </c>
      <c r="B184" s="2">
        <v>33926.449999999997</v>
      </c>
      <c r="C184" s="2">
        <v>4355.43</v>
      </c>
      <c r="D184" s="2">
        <v>38281.879999999997</v>
      </c>
    </row>
    <row r="185" spans="1:4" x14ac:dyDescent="0.25">
      <c r="A185" s="18">
        <v>44380</v>
      </c>
      <c r="B185" s="2">
        <v>34942.559999999998</v>
      </c>
      <c r="C185" s="2"/>
      <c r="D185" s="2">
        <v>34942.559999999998</v>
      </c>
    </row>
    <row r="186" spans="1:4" x14ac:dyDescent="0.25">
      <c r="A186" s="18">
        <v>44381</v>
      </c>
      <c r="B186" s="2">
        <v>35985.71</v>
      </c>
      <c r="C186" s="2"/>
      <c r="D186" s="2">
        <v>35985.71</v>
      </c>
    </row>
    <row r="187" spans="1:4" x14ac:dyDescent="0.25">
      <c r="A187" s="18">
        <v>44382</v>
      </c>
      <c r="B187" s="2">
        <v>34559.72</v>
      </c>
      <c r="C187" s="2"/>
      <c r="D187" s="2">
        <v>34559.72</v>
      </c>
    </row>
    <row r="188" spans="1:4" x14ac:dyDescent="0.25">
      <c r="A188" s="18">
        <v>44383</v>
      </c>
      <c r="B188" s="2">
        <v>35114.32</v>
      </c>
      <c r="C188" s="2">
        <v>4356.46</v>
      </c>
      <c r="D188" s="2">
        <v>39470.78</v>
      </c>
    </row>
    <row r="189" spans="1:4" x14ac:dyDescent="0.25">
      <c r="A189" s="18">
        <v>44384</v>
      </c>
      <c r="B189" s="2">
        <v>35098.28</v>
      </c>
      <c r="C189" s="2">
        <v>4361.88</v>
      </c>
      <c r="D189" s="2">
        <v>39460.159999999996</v>
      </c>
    </row>
    <row r="190" spans="1:4" x14ac:dyDescent="0.25">
      <c r="A190" s="18">
        <v>44385</v>
      </c>
      <c r="B190" s="2">
        <v>33493.24</v>
      </c>
      <c r="C190" s="2">
        <v>4330.88</v>
      </c>
      <c r="D190" s="2">
        <v>37824.119999999995</v>
      </c>
    </row>
    <row r="191" spans="1:4" x14ac:dyDescent="0.25">
      <c r="A191" s="18">
        <v>44386</v>
      </c>
      <c r="B191" s="2">
        <v>34262.53</v>
      </c>
      <c r="C191" s="2">
        <v>4371.6000000000004</v>
      </c>
      <c r="D191" s="2">
        <v>38634.129999999997</v>
      </c>
    </row>
    <row r="192" spans="1:4" x14ac:dyDescent="0.25">
      <c r="A192" s="18">
        <v>44387</v>
      </c>
      <c r="B192" s="2">
        <v>34195.26</v>
      </c>
      <c r="C192" s="2"/>
      <c r="D192" s="2">
        <v>34195.26</v>
      </c>
    </row>
    <row r="193" spans="1:4" x14ac:dyDescent="0.25">
      <c r="A193" s="18">
        <v>44388</v>
      </c>
      <c r="B193" s="2">
        <v>34602</v>
      </c>
      <c r="C193" s="2"/>
      <c r="D193" s="2">
        <v>34602</v>
      </c>
    </row>
    <row r="194" spans="1:4" x14ac:dyDescent="0.25">
      <c r="A194" s="18">
        <v>44389</v>
      </c>
      <c r="B194" s="2">
        <v>34670.21</v>
      </c>
      <c r="C194" s="2">
        <v>4386.68</v>
      </c>
      <c r="D194" s="2">
        <v>39056.89</v>
      </c>
    </row>
    <row r="195" spans="1:4" x14ac:dyDescent="0.25">
      <c r="A195" s="18">
        <v>44390</v>
      </c>
      <c r="B195" s="2">
        <v>33334.71</v>
      </c>
      <c r="C195" s="2">
        <v>4392.37</v>
      </c>
      <c r="D195" s="2">
        <v>37727.08</v>
      </c>
    </row>
    <row r="196" spans="1:4" x14ac:dyDescent="0.25">
      <c r="A196" s="18">
        <v>44391</v>
      </c>
      <c r="B196" s="2">
        <v>33189.99</v>
      </c>
      <c r="C196" s="2">
        <v>4393.68</v>
      </c>
      <c r="D196" s="2">
        <v>37583.67</v>
      </c>
    </row>
    <row r="197" spans="1:4" x14ac:dyDescent="0.25">
      <c r="A197" s="18">
        <v>44392</v>
      </c>
      <c r="B197" s="2">
        <v>32691.72</v>
      </c>
      <c r="C197" s="2">
        <v>4369.0200000000004</v>
      </c>
      <c r="D197" s="2">
        <v>37060.740000000005</v>
      </c>
    </row>
    <row r="198" spans="1:4" x14ac:dyDescent="0.25">
      <c r="A198" s="18">
        <v>44393</v>
      </c>
      <c r="B198" s="2">
        <v>32252.21</v>
      </c>
      <c r="C198" s="2">
        <v>4375.09</v>
      </c>
      <c r="D198" s="2">
        <v>36627.300000000003</v>
      </c>
    </row>
    <row r="199" spans="1:4" x14ac:dyDescent="0.25">
      <c r="A199" s="18">
        <v>44394</v>
      </c>
      <c r="B199" s="2">
        <v>32437.07</v>
      </c>
      <c r="C199" s="2"/>
      <c r="D199" s="2">
        <v>32437.07</v>
      </c>
    </row>
    <row r="200" spans="1:4" x14ac:dyDescent="0.25">
      <c r="A200" s="18">
        <v>44395</v>
      </c>
      <c r="B200" s="2">
        <v>32200.55</v>
      </c>
      <c r="C200" s="2"/>
      <c r="D200" s="2">
        <v>32200.55</v>
      </c>
    </row>
    <row r="201" spans="1:4" x14ac:dyDescent="0.25">
      <c r="A201" s="18">
        <v>44396</v>
      </c>
      <c r="B201" s="2">
        <v>31890.59</v>
      </c>
      <c r="C201" s="2">
        <v>4296.3999999999996</v>
      </c>
      <c r="D201" s="2">
        <v>36186.99</v>
      </c>
    </row>
    <row r="202" spans="1:4" x14ac:dyDescent="0.25">
      <c r="A202" s="18">
        <v>44397</v>
      </c>
      <c r="B202" s="2">
        <v>30005.72</v>
      </c>
      <c r="C202" s="2">
        <v>4336.84</v>
      </c>
      <c r="D202" s="2">
        <v>34342.559999999998</v>
      </c>
    </row>
    <row r="203" spans="1:4" x14ac:dyDescent="0.25">
      <c r="A203" s="18">
        <v>44398</v>
      </c>
      <c r="B203" s="2">
        <v>32950</v>
      </c>
      <c r="C203" s="2">
        <v>4359.7</v>
      </c>
      <c r="D203" s="2">
        <v>37309.699999999997</v>
      </c>
    </row>
    <row r="204" spans="1:4" x14ac:dyDescent="0.25">
      <c r="A204" s="18">
        <v>44399</v>
      </c>
      <c r="B204" s="2">
        <v>32806.46</v>
      </c>
      <c r="C204" s="2">
        <v>4369.87</v>
      </c>
      <c r="D204" s="2">
        <v>37176.33</v>
      </c>
    </row>
    <row r="205" spans="1:4" x14ac:dyDescent="0.25">
      <c r="A205" s="18">
        <v>44400</v>
      </c>
      <c r="B205" s="2">
        <v>33800</v>
      </c>
      <c r="C205" s="2">
        <v>4415.18</v>
      </c>
      <c r="D205" s="2">
        <v>38215.18</v>
      </c>
    </row>
    <row r="206" spans="1:4" x14ac:dyDescent="0.25">
      <c r="A206" s="18">
        <v>44401</v>
      </c>
      <c r="B206" s="2">
        <v>34525.5</v>
      </c>
      <c r="C206" s="2"/>
      <c r="D206" s="2">
        <v>34525.5</v>
      </c>
    </row>
    <row r="207" spans="1:4" x14ac:dyDescent="0.25">
      <c r="A207" s="18">
        <v>44402</v>
      </c>
      <c r="B207" s="2">
        <v>39782.93</v>
      </c>
      <c r="C207" s="2"/>
      <c r="D207" s="2">
        <v>39782.93</v>
      </c>
    </row>
    <row r="208" spans="1:4" x14ac:dyDescent="0.25">
      <c r="A208" s="18">
        <v>44403</v>
      </c>
      <c r="B208" s="2">
        <v>40572.449999999997</v>
      </c>
      <c r="C208" s="2">
        <v>4422.7299999999996</v>
      </c>
      <c r="D208" s="2">
        <v>44995.179999999993</v>
      </c>
    </row>
    <row r="209" spans="1:4" x14ac:dyDescent="0.25">
      <c r="A209" s="18">
        <v>44404</v>
      </c>
      <c r="B209" s="2">
        <v>40366.57</v>
      </c>
      <c r="C209" s="2">
        <v>4416.38</v>
      </c>
      <c r="D209" s="2">
        <v>44782.95</v>
      </c>
    </row>
    <row r="210" spans="1:4" x14ac:dyDescent="0.25">
      <c r="A210" s="18">
        <v>44405</v>
      </c>
      <c r="B210" s="2">
        <v>40928.46</v>
      </c>
      <c r="C210" s="2">
        <v>4415.47</v>
      </c>
      <c r="D210" s="2">
        <v>45343.93</v>
      </c>
    </row>
    <row r="211" spans="1:4" x14ac:dyDescent="0.25">
      <c r="A211" s="18">
        <v>44406</v>
      </c>
      <c r="B211" s="2">
        <v>40639.14</v>
      </c>
      <c r="C211" s="2">
        <v>4429.97</v>
      </c>
      <c r="D211" s="2">
        <v>45069.11</v>
      </c>
    </row>
    <row r="212" spans="1:4" x14ac:dyDescent="0.25">
      <c r="A212" s="18">
        <v>44407</v>
      </c>
      <c r="B212" s="2">
        <v>42400</v>
      </c>
      <c r="C212" s="2">
        <v>4412.25</v>
      </c>
      <c r="D212" s="2">
        <v>46812.25</v>
      </c>
    </row>
    <row r="213" spans="1:4" x14ac:dyDescent="0.25">
      <c r="A213" s="18">
        <v>44408</v>
      </c>
      <c r="B213" s="2">
        <v>42600</v>
      </c>
      <c r="C213" s="2"/>
      <c r="D213" s="2">
        <v>42600</v>
      </c>
    </row>
    <row r="214" spans="1:4" x14ac:dyDescent="0.25">
      <c r="A214" s="18">
        <v>44409</v>
      </c>
      <c r="B214" s="2">
        <v>42475.28</v>
      </c>
      <c r="C214" s="2"/>
      <c r="D214" s="2">
        <v>42475.28</v>
      </c>
    </row>
    <row r="215" spans="1:4" x14ac:dyDescent="0.25">
      <c r="A215" s="18">
        <v>44410</v>
      </c>
      <c r="B215" s="2">
        <v>40446.58</v>
      </c>
      <c r="C215" s="2">
        <v>4422.18</v>
      </c>
      <c r="D215" s="2">
        <v>44868.76</v>
      </c>
    </row>
    <row r="216" spans="1:4" x14ac:dyDescent="0.25">
      <c r="A216" s="18">
        <v>44411</v>
      </c>
      <c r="B216" s="2">
        <v>38824.81</v>
      </c>
      <c r="C216" s="2">
        <v>4423.79</v>
      </c>
      <c r="D216" s="2">
        <v>43248.6</v>
      </c>
    </row>
    <row r="217" spans="1:4" x14ac:dyDescent="0.25">
      <c r="A217" s="18">
        <v>44412</v>
      </c>
      <c r="B217" s="2">
        <v>39973.96</v>
      </c>
      <c r="C217" s="2">
        <v>4416.17</v>
      </c>
      <c r="D217" s="2">
        <v>44390.13</v>
      </c>
    </row>
    <row r="218" spans="1:4" x14ac:dyDescent="0.25">
      <c r="A218" s="18">
        <v>44413</v>
      </c>
      <c r="B218" s="2">
        <v>41431.18</v>
      </c>
      <c r="C218" s="2">
        <v>4429.76</v>
      </c>
      <c r="D218" s="2">
        <v>45860.94</v>
      </c>
    </row>
    <row r="219" spans="1:4" x14ac:dyDescent="0.25">
      <c r="A219" s="18">
        <v>44414</v>
      </c>
      <c r="B219" s="2">
        <v>43792.42</v>
      </c>
      <c r="C219" s="2">
        <v>4440.82</v>
      </c>
      <c r="D219" s="2">
        <v>48233.24</v>
      </c>
    </row>
    <row r="220" spans="1:4" x14ac:dyDescent="0.25">
      <c r="A220" s="18">
        <v>44415</v>
      </c>
      <c r="B220" s="2">
        <v>44837.59</v>
      </c>
      <c r="C220" s="2"/>
      <c r="D220" s="2">
        <v>44837.59</v>
      </c>
    </row>
    <row r="221" spans="1:4" x14ac:dyDescent="0.25">
      <c r="A221" s="18">
        <v>44416</v>
      </c>
      <c r="B221" s="2">
        <v>45386.81</v>
      </c>
      <c r="C221" s="2"/>
      <c r="D221" s="2">
        <v>45386.81</v>
      </c>
    </row>
    <row r="222" spans="1:4" x14ac:dyDescent="0.25">
      <c r="A222" s="18">
        <v>44417</v>
      </c>
      <c r="B222" s="2">
        <v>46729.86</v>
      </c>
      <c r="C222" s="2">
        <v>4439.3900000000003</v>
      </c>
      <c r="D222" s="2">
        <v>51169.25</v>
      </c>
    </row>
    <row r="223" spans="1:4" x14ac:dyDescent="0.25">
      <c r="A223" s="18">
        <v>44418</v>
      </c>
      <c r="B223" s="2">
        <v>46183.47</v>
      </c>
      <c r="C223" s="2">
        <v>4445.21</v>
      </c>
      <c r="D223" s="2">
        <v>50628.68</v>
      </c>
    </row>
    <row r="224" spans="1:4" x14ac:dyDescent="0.25">
      <c r="A224" s="18">
        <v>44419</v>
      </c>
      <c r="B224" s="2">
        <v>46775</v>
      </c>
      <c r="C224" s="2">
        <v>4449.4399999999996</v>
      </c>
      <c r="D224" s="2">
        <v>51224.44</v>
      </c>
    </row>
    <row r="225" spans="1:4" x14ac:dyDescent="0.25">
      <c r="A225" s="18">
        <v>44420</v>
      </c>
      <c r="B225" s="2">
        <v>46023.08</v>
      </c>
      <c r="C225" s="2">
        <v>4461.7700000000004</v>
      </c>
      <c r="D225" s="2">
        <v>50484.850000000006</v>
      </c>
    </row>
    <row r="226" spans="1:4" x14ac:dyDescent="0.25">
      <c r="A226" s="18">
        <v>44421</v>
      </c>
      <c r="B226" s="2">
        <v>47900</v>
      </c>
      <c r="C226" s="2">
        <v>4468.37</v>
      </c>
      <c r="D226" s="2">
        <v>52368.37</v>
      </c>
    </row>
    <row r="227" spans="1:4" x14ac:dyDescent="0.25">
      <c r="A227" s="18">
        <v>44422</v>
      </c>
      <c r="B227" s="2">
        <v>48181.51</v>
      </c>
      <c r="C227" s="2"/>
      <c r="D227" s="2">
        <v>48181.51</v>
      </c>
    </row>
    <row r="228" spans="1:4" x14ac:dyDescent="0.25">
      <c r="A228" s="18">
        <v>44423</v>
      </c>
      <c r="B228" s="2">
        <v>48044.25</v>
      </c>
      <c r="C228" s="2"/>
      <c r="D228" s="2">
        <v>48044.25</v>
      </c>
    </row>
    <row r="229" spans="1:4" x14ac:dyDescent="0.25">
      <c r="A229" s="18">
        <v>44424</v>
      </c>
      <c r="B229" s="2">
        <v>47744.5</v>
      </c>
      <c r="C229" s="2">
        <v>4480.26</v>
      </c>
      <c r="D229" s="2">
        <v>52224.76</v>
      </c>
    </row>
    <row r="230" spans="1:4" x14ac:dyDescent="0.25">
      <c r="A230" s="18">
        <v>44425</v>
      </c>
      <c r="B230" s="2">
        <v>47162.94</v>
      </c>
      <c r="C230" s="2">
        <v>4462.12</v>
      </c>
      <c r="D230" s="2">
        <v>51625.060000000005</v>
      </c>
    </row>
    <row r="231" spans="1:4" x14ac:dyDescent="0.25">
      <c r="A231" s="18">
        <v>44426</v>
      </c>
      <c r="B231" s="2">
        <v>46031</v>
      </c>
      <c r="C231" s="2">
        <v>4454.32</v>
      </c>
      <c r="D231" s="2">
        <v>50485.32</v>
      </c>
    </row>
    <row r="232" spans="1:4" x14ac:dyDescent="0.25">
      <c r="A232" s="18">
        <v>44427</v>
      </c>
      <c r="B232" s="2">
        <v>47424.13</v>
      </c>
      <c r="C232" s="2">
        <v>4418.6099999999997</v>
      </c>
      <c r="D232" s="2">
        <v>51842.74</v>
      </c>
    </row>
    <row r="233" spans="1:4" x14ac:dyDescent="0.25">
      <c r="A233" s="18">
        <v>44428</v>
      </c>
      <c r="B233" s="2">
        <v>49400</v>
      </c>
      <c r="C233" s="2">
        <v>4444.3500000000004</v>
      </c>
      <c r="D233" s="2">
        <v>53844.35</v>
      </c>
    </row>
    <row r="234" spans="1:4" x14ac:dyDescent="0.25">
      <c r="A234" s="18">
        <v>44429</v>
      </c>
      <c r="B234" s="2">
        <v>49812.54</v>
      </c>
      <c r="C234" s="2"/>
      <c r="D234" s="2">
        <v>49812.54</v>
      </c>
    </row>
    <row r="235" spans="1:4" x14ac:dyDescent="0.25">
      <c r="A235" s="18">
        <v>44430</v>
      </c>
      <c r="B235" s="2">
        <v>50540.19</v>
      </c>
      <c r="C235" s="2"/>
      <c r="D235" s="2">
        <v>50540.19</v>
      </c>
    </row>
    <row r="236" spans="1:4" x14ac:dyDescent="0.25">
      <c r="A236" s="18">
        <v>44431</v>
      </c>
      <c r="B236" s="2">
        <v>50517.99</v>
      </c>
      <c r="C236" s="2">
        <v>4489.88</v>
      </c>
      <c r="D236" s="2">
        <v>55007.869999999995</v>
      </c>
    </row>
    <row r="237" spans="1:4" x14ac:dyDescent="0.25">
      <c r="A237" s="18">
        <v>44432</v>
      </c>
      <c r="B237" s="2">
        <v>49867.71</v>
      </c>
      <c r="C237" s="2">
        <v>4492.8100000000004</v>
      </c>
      <c r="D237" s="2">
        <v>54360.52</v>
      </c>
    </row>
    <row r="238" spans="1:4" x14ac:dyDescent="0.25">
      <c r="A238" s="18">
        <v>44433</v>
      </c>
      <c r="B238" s="2">
        <v>49365.42</v>
      </c>
      <c r="C238" s="2">
        <v>4501.71</v>
      </c>
      <c r="D238" s="2">
        <v>53867.13</v>
      </c>
    </row>
    <row r="239" spans="1:4" x14ac:dyDescent="0.25">
      <c r="A239" s="18">
        <v>44434</v>
      </c>
      <c r="B239" s="2">
        <v>48053.14</v>
      </c>
      <c r="C239" s="2">
        <v>4495.8999999999996</v>
      </c>
      <c r="D239" s="2">
        <v>52549.04</v>
      </c>
    </row>
    <row r="240" spans="1:4" x14ac:dyDescent="0.25">
      <c r="A240" s="18">
        <v>44435</v>
      </c>
      <c r="B240" s="2">
        <v>49313.26</v>
      </c>
      <c r="C240" s="2">
        <v>4513.33</v>
      </c>
      <c r="D240" s="2">
        <v>53826.590000000004</v>
      </c>
    </row>
    <row r="241" spans="1:4" x14ac:dyDescent="0.25">
      <c r="A241" s="18">
        <v>44436</v>
      </c>
      <c r="B241" s="2">
        <v>49650</v>
      </c>
      <c r="C241" s="2"/>
      <c r="D241" s="2">
        <v>49650</v>
      </c>
    </row>
    <row r="242" spans="1:4" x14ac:dyDescent="0.25">
      <c r="A242" s="18">
        <v>44437</v>
      </c>
      <c r="B242" s="2">
        <v>49408.07</v>
      </c>
      <c r="C242" s="2"/>
      <c r="D242" s="2">
        <v>49408.07</v>
      </c>
    </row>
    <row r="243" spans="1:4" x14ac:dyDescent="0.25">
      <c r="A243" s="18">
        <v>44438</v>
      </c>
      <c r="B243" s="2">
        <v>48735.71</v>
      </c>
      <c r="C243" s="2">
        <v>4537.3599999999997</v>
      </c>
      <c r="D243" s="2">
        <v>53273.07</v>
      </c>
    </row>
    <row r="244" spans="1:4" x14ac:dyDescent="0.25">
      <c r="A244" s="18">
        <v>44439</v>
      </c>
      <c r="B244" s="2">
        <v>48261.59</v>
      </c>
      <c r="C244" s="2">
        <v>4531.3900000000003</v>
      </c>
      <c r="D244" s="2">
        <v>52792.979999999996</v>
      </c>
    </row>
    <row r="245" spans="1:4" x14ac:dyDescent="0.25">
      <c r="A245" s="18">
        <v>44440</v>
      </c>
      <c r="B245" s="2">
        <v>49935.09</v>
      </c>
      <c r="C245" s="2">
        <v>4537.1099999999997</v>
      </c>
      <c r="D245" s="2">
        <v>54472.2</v>
      </c>
    </row>
    <row r="246" spans="1:4" x14ac:dyDescent="0.25">
      <c r="A246" s="18">
        <v>44441</v>
      </c>
      <c r="B246" s="2">
        <v>50412</v>
      </c>
      <c r="C246" s="2">
        <v>4545.8500000000004</v>
      </c>
      <c r="D246" s="2">
        <v>54957.85</v>
      </c>
    </row>
    <row r="247" spans="1:4" x14ac:dyDescent="0.25">
      <c r="A247" s="18">
        <v>44442</v>
      </c>
      <c r="B247" s="2">
        <v>51046.11</v>
      </c>
      <c r="C247" s="2">
        <v>4541.45</v>
      </c>
      <c r="D247" s="2">
        <v>55587.56</v>
      </c>
    </row>
    <row r="248" spans="1:4" x14ac:dyDescent="0.25">
      <c r="A248" s="18">
        <v>44443</v>
      </c>
      <c r="B248" s="2">
        <v>50545.41</v>
      </c>
      <c r="C248" s="2"/>
      <c r="D248" s="2">
        <v>50545.41</v>
      </c>
    </row>
    <row r="249" spans="1:4" x14ac:dyDescent="0.25">
      <c r="A249" s="18">
        <v>44444</v>
      </c>
      <c r="B249" s="2">
        <v>51962.68</v>
      </c>
      <c r="C249" s="2"/>
      <c r="D249" s="2">
        <v>51962.68</v>
      </c>
    </row>
    <row r="250" spans="1:4" x14ac:dyDescent="0.25">
      <c r="A250" s="18">
        <v>44445</v>
      </c>
      <c r="B250" s="2">
        <v>52938.78</v>
      </c>
      <c r="C250" s="2"/>
      <c r="D250" s="2">
        <v>52938.78</v>
      </c>
    </row>
    <row r="251" spans="1:4" x14ac:dyDescent="0.25">
      <c r="A251" s="18">
        <v>44446</v>
      </c>
      <c r="B251" s="2">
        <v>52744.480000000003</v>
      </c>
      <c r="C251" s="2">
        <v>4535.38</v>
      </c>
      <c r="D251" s="2">
        <v>57279.86</v>
      </c>
    </row>
    <row r="252" spans="1:4" x14ac:dyDescent="0.25">
      <c r="A252" s="18">
        <v>44447</v>
      </c>
      <c r="B252" s="2">
        <v>46885.38</v>
      </c>
      <c r="C252" s="2">
        <v>4521.79</v>
      </c>
      <c r="D252" s="2">
        <v>51407.17</v>
      </c>
    </row>
    <row r="253" spans="1:4" x14ac:dyDescent="0.25">
      <c r="A253" s="18">
        <v>44448</v>
      </c>
      <c r="B253" s="2">
        <v>47396.38</v>
      </c>
      <c r="C253" s="2">
        <v>4529.8999999999996</v>
      </c>
      <c r="D253" s="2">
        <v>51926.28</v>
      </c>
    </row>
    <row r="254" spans="1:4" x14ac:dyDescent="0.25">
      <c r="A254" s="18">
        <v>44449</v>
      </c>
      <c r="B254" s="2">
        <v>46812.87</v>
      </c>
      <c r="C254" s="2">
        <v>4520.47</v>
      </c>
      <c r="D254" s="2">
        <v>51333.340000000004</v>
      </c>
    </row>
    <row r="255" spans="1:4" x14ac:dyDescent="0.25">
      <c r="A255" s="18">
        <v>44450</v>
      </c>
      <c r="B255" s="2">
        <v>46001.33</v>
      </c>
      <c r="C255" s="2"/>
      <c r="D255" s="2">
        <v>46001.33</v>
      </c>
    </row>
    <row r="256" spans="1:4" x14ac:dyDescent="0.25">
      <c r="A256" s="18">
        <v>44451</v>
      </c>
      <c r="B256" s="2">
        <v>46504.62</v>
      </c>
      <c r="C256" s="2"/>
      <c r="D256" s="2">
        <v>46504.62</v>
      </c>
    </row>
    <row r="257" spans="1:4" x14ac:dyDescent="0.25">
      <c r="A257" s="18">
        <v>44452</v>
      </c>
      <c r="B257" s="2">
        <v>46897</v>
      </c>
      <c r="C257" s="2">
        <v>4492.99</v>
      </c>
      <c r="D257" s="2">
        <v>51389.99</v>
      </c>
    </row>
    <row r="258" spans="1:4" x14ac:dyDescent="0.25">
      <c r="A258" s="18">
        <v>44453</v>
      </c>
      <c r="B258" s="2">
        <v>47498.54</v>
      </c>
      <c r="C258" s="2">
        <v>4485.68</v>
      </c>
      <c r="D258" s="2">
        <v>51984.22</v>
      </c>
    </row>
    <row r="259" spans="1:4" x14ac:dyDescent="0.25">
      <c r="A259" s="18">
        <v>44454</v>
      </c>
      <c r="B259" s="2">
        <v>48455.16</v>
      </c>
      <c r="C259" s="2">
        <v>4486.87</v>
      </c>
      <c r="D259" s="2">
        <v>52942.030000000006</v>
      </c>
    </row>
    <row r="260" spans="1:4" x14ac:dyDescent="0.25">
      <c r="A260" s="18">
        <v>44455</v>
      </c>
      <c r="B260" s="2">
        <v>48500</v>
      </c>
      <c r="C260" s="2">
        <v>4485.87</v>
      </c>
      <c r="D260" s="2">
        <v>52985.87</v>
      </c>
    </row>
    <row r="261" spans="1:4" x14ac:dyDescent="0.25">
      <c r="A261" s="18">
        <v>44456</v>
      </c>
      <c r="B261" s="2">
        <v>48165.96</v>
      </c>
      <c r="C261" s="2">
        <v>4471.5200000000004</v>
      </c>
      <c r="D261" s="2">
        <v>52637.479999999996</v>
      </c>
    </row>
    <row r="262" spans="1:4" x14ac:dyDescent="0.25">
      <c r="A262" s="18">
        <v>44457</v>
      </c>
      <c r="B262" s="2">
        <v>48808.97</v>
      </c>
      <c r="C262" s="2"/>
      <c r="D262" s="2">
        <v>48808.97</v>
      </c>
    </row>
    <row r="263" spans="1:4" x14ac:dyDescent="0.25">
      <c r="A263" s="18">
        <v>44458</v>
      </c>
      <c r="B263" s="2">
        <v>48333.32</v>
      </c>
      <c r="C263" s="2"/>
      <c r="D263" s="2">
        <v>48333.32</v>
      </c>
    </row>
    <row r="264" spans="1:4" x14ac:dyDescent="0.25">
      <c r="A264" s="18">
        <v>44459</v>
      </c>
      <c r="B264" s="2">
        <v>45837.9</v>
      </c>
      <c r="C264" s="2">
        <v>4402.95</v>
      </c>
      <c r="D264" s="2">
        <v>50240.85</v>
      </c>
    </row>
    <row r="265" spans="1:4" x14ac:dyDescent="0.25">
      <c r="A265" s="18">
        <v>44460</v>
      </c>
      <c r="B265" s="2">
        <v>43655.53</v>
      </c>
      <c r="C265" s="2">
        <v>4394.87</v>
      </c>
      <c r="D265" s="2">
        <v>48050.400000000001</v>
      </c>
    </row>
    <row r="266" spans="1:4" x14ac:dyDescent="0.25">
      <c r="A266" s="18">
        <v>44461</v>
      </c>
      <c r="B266" s="2">
        <v>44231.92</v>
      </c>
      <c r="C266" s="2">
        <v>4416.75</v>
      </c>
      <c r="D266" s="2">
        <v>48648.67</v>
      </c>
    </row>
    <row r="267" spans="1:4" x14ac:dyDescent="0.25">
      <c r="A267" s="18">
        <v>44462</v>
      </c>
      <c r="B267" s="2">
        <v>45062.97</v>
      </c>
      <c r="C267" s="2">
        <v>4465.3999999999996</v>
      </c>
      <c r="D267" s="2">
        <v>49528.37</v>
      </c>
    </row>
    <row r="268" spans="1:4" x14ac:dyDescent="0.25">
      <c r="A268" s="18">
        <v>44463</v>
      </c>
      <c r="B268" s="2">
        <v>45157.81</v>
      </c>
      <c r="C268" s="2">
        <v>4463.12</v>
      </c>
      <c r="D268" s="2">
        <v>49620.93</v>
      </c>
    </row>
    <row r="269" spans="1:4" x14ac:dyDescent="0.25">
      <c r="A269" s="18">
        <v>44464</v>
      </c>
      <c r="B269" s="2">
        <v>42985.06</v>
      </c>
      <c r="C269" s="2"/>
      <c r="D269" s="2">
        <v>42985.06</v>
      </c>
    </row>
    <row r="270" spans="1:4" x14ac:dyDescent="0.25">
      <c r="A270" s="18">
        <v>44465</v>
      </c>
      <c r="B270" s="2">
        <v>44350</v>
      </c>
      <c r="C270" s="2"/>
      <c r="D270" s="2">
        <v>44350</v>
      </c>
    </row>
    <row r="271" spans="1:4" x14ac:dyDescent="0.25">
      <c r="A271" s="18">
        <v>44466</v>
      </c>
      <c r="B271" s="2">
        <v>44250.76</v>
      </c>
      <c r="C271" s="2">
        <v>4457.3</v>
      </c>
      <c r="D271" s="2">
        <v>48708.060000000005</v>
      </c>
    </row>
    <row r="272" spans="1:4" x14ac:dyDescent="0.25">
      <c r="A272" s="18">
        <v>44467</v>
      </c>
      <c r="B272" s="2">
        <v>42771.12</v>
      </c>
      <c r="C272" s="2">
        <v>4419.54</v>
      </c>
      <c r="D272" s="2">
        <v>47190.66</v>
      </c>
    </row>
    <row r="273" spans="1:4" x14ac:dyDescent="0.25">
      <c r="A273" s="18">
        <v>44468</v>
      </c>
      <c r="B273" s="2">
        <v>43726.63</v>
      </c>
      <c r="C273" s="2">
        <v>4385.57</v>
      </c>
      <c r="D273" s="2">
        <v>48112.2</v>
      </c>
    </row>
    <row r="274" spans="1:4" x14ac:dyDescent="0.25">
      <c r="A274" s="18">
        <v>44469</v>
      </c>
      <c r="B274" s="2">
        <v>44097.7</v>
      </c>
      <c r="C274" s="2">
        <v>4382.55</v>
      </c>
      <c r="D274" s="2">
        <v>48480.25</v>
      </c>
    </row>
    <row r="275" spans="1:4" x14ac:dyDescent="0.25">
      <c r="A275" s="18">
        <v>44470</v>
      </c>
      <c r="B275" s="2">
        <v>48495.68</v>
      </c>
      <c r="C275" s="2">
        <v>4375.1899999999996</v>
      </c>
      <c r="D275" s="2">
        <v>52870.87</v>
      </c>
    </row>
    <row r="276" spans="1:4" x14ac:dyDescent="0.25">
      <c r="A276" s="18">
        <v>44471</v>
      </c>
      <c r="B276" s="2">
        <v>48346.7</v>
      </c>
      <c r="C276" s="2"/>
      <c r="D276" s="2">
        <v>48346.7</v>
      </c>
    </row>
    <row r="277" spans="1:4" x14ac:dyDescent="0.25">
      <c r="A277" s="18">
        <v>44472</v>
      </c>
      <c r="B277" s="2">
        <v>49259.3</v>
      </c>
      <c r="C277" s="2"/>
      <c r="D277" s="2">
        <v>49259.3</v>
      </c>
    </row>
    <row r="278" spans="1:4" x14ac:dyDescent="0.25">
      <c r="A278" s="18">
        <v>44473</v>
      </c>
      <c r="B278" s="2">
        <v>49789.33</v>
      </c>
      <c r="C278" s="2">
        <v>4355.51</v>
      </c>
      <c r="D278" s="2">
        <v>54144.840000000004</v>
      </c>
    </row>
    <row r="279" spans="1:4" x14ac:dyDescent="0.25">
      <c r="A279" s="18">
        <v>44474</v>
      </c>
      <c r="B279" s="2">
        <v>51927.83</v>
      </c>
      <c r="C279" s="2">
        <v>4369.2299999999996</v>
      </c>
      <c r="D279" s="2">
        <v>56297.06</v>
      </c>
    </row>
    <row r="280" spans="1:4" x14ac:dyDescent="0.25">
      <c r="A280" s="18">
        <v>44475</v>
      </c>
      <c r="B280" s="2">
        <v>55800</v>
      </c>
      <c r="C280" s="2">
        <v>4365.57</v>
      </c>
      <c r="D280" s="2">
        <v>60165.57</v>
      </c>
    </row>
    <row r="281" spans="1:4" x14ac:dyDescent="0.25">
      <c r="A281" s="18">
        <v>44476</v>
      </c>
      <c r="B281" s="2">
        <v>55231.53</v>
      </c>
      <c r="C281" s="2">
        <v>4429.97</v>
      </c>
      <c r="D281" s="2">
        <v>59661.5</v>
      </c>
    </row>
    <row r="282" spans="1:4" x14ac:dyDescent="0.25">
      <c r="A282" s="18">
        <v>44477</v>
      </c>
      <c r="B282" s="2">
        <v>56150.58</v>
      </c>
      <c r="C282" s="2">
        <v>4412.0200000000004</v>
      </c>
      <c r="D282" s="2">
        <v>60562.600000000006</v>
      </c>
    </row>
    <row r="283" spans="1:4" x14ac:dyDescent="0.25">
      <c r="A283" s="18">
        <v>44478</v>
      </c>
      <c r="B283" s="2">
        <v>55486.87</v>
      </c>
      <c r="C283" s="2"/>
      <c r="D283" s="2">
        <v>55486.87</v>
      </c>
    </row>
    <row r="284" spans="1:4" x14ac:dyDescent="0.25">
      <c r="A284" s="18">
        <v>44479</v>
      </c>
      <c r="B284" s="2">
        <v>56759.01</v>
      </c>
      <c r="C284" s="2"/>
      <c r="D284" s="2">
        <v>56759.01</v>
      </c>
    </row>
    <row r="285" spans="1:4" x14ac:dyDescent="0.25">
      <c r="A285" s="18">
        <v>44480</v>
      </c>
      <c r="B285" s="2">
        <v>58000</v>
      </c>
      <c r="C285" s="2">
        <v>4415.88</v>
      </c>
      <c r="D285" s="2">
        <v>62415.88</v>
      </c>
    </row>
    <row r="286" spans="1:4" x14ac:dyDescent="0.25">
      <c r="A286" s="18">
        <v>44481</v>
      </c>
      <c r="B286" s="2">
        <v>57688.88</v>
      </c>
      <c r="C286" s="2">
        <v>4374.8900000000003</v>
      </c>
      <c r="D286" s="2">
        <v>62063.77</v>
      </c>
    </row>
    <row r="287" spans="1:4" x14ac:dyDescent="0.25">
      <c r="A287" s="18">
        <v>44482</v>
      </c>
      <c r="B287" s="2">
        <v>58500.02</v>
      </c>
      <c r="C287" s="2">
        <v>4372.87</v>
      </c>
      <c r="D287" s="2">
        <v>62872.89</v>
      </c>
    </row>
    <row r="288" spans="1:4" x14ac:dyDescent="0.25">
      <c r="A288" s="18">
        <v>44483</v>
      </c>
      <c r="B288" s="2">
        <v>59450</v>
      </c>
      <c r="C288" s="2">
        <v>4439.7299999999996</v>
      </c>
      <c r="D288" s="2">
        <v>63889.729999999996</v>
      </c>
    </row>
    <row r="289" spans="1:4" x14ac:dyDescent="0.25">
      <c r="A289" s="18">
        <v>44484</v>
      </c>
      <c r="B289" s="2">
        <v>62898</v>
      </c>
      <c r="C289" s="2">
        <v>4475.82</v>
      </c>
      <c r="D289" s="2">
        <v>67373.820000000007</v>
      </c>
    </row>
    <row r="290" spans="1:4" x14ac:dyDescent="0.25">
      <c r="A290" s="18">
        <v>44485</v>
      </c>
      <c r="B290" s="2">
        <v>62366.080000000002</v>
      </c>
      <c r="C290" s="2"/>
      <c r="D290" s="2">
        <v>62366.080000000002</v>
      </c>
    </row>
    <row r="291" spans="1:4" x14ac:dyDescent="0.25">
      <c r="A291" s="18">
        <v>44486</v>
      </c>
      <c r="B291" s="2">
        <v>62552.73</v>
      </c>
      <c r="C291" s="2"/>
      <c r="D291" s="2">
        <v>62552.73</v>
      </c>
    </row>
    <row r="292" spans="1:4" x14ac:dyDescent="0.25">
      <c r="A292" s="18">
        <v>44487</v>
      </c>
      <c r="B292" s="2">
        <v>62973.38</v>
      </c>
      <c r="C292" s="2">
        <v>4488.75</v>
      </c>
      <c r="D292" s="2">
        <v>67462.13</v>
      </c>
    </row>
    <row r="293" spans="1:4" x14ac:dyDescent="0.25">
      <c r="A293" s="18">
        <v>44488</v>
      </c>
      <c r="B293" s="2">
        <v>64498.12</v>
      </c>
      <c r="C293" s="2">
        <v>4520.3999999999996</v>
      </c>
      <c r="D293" s="2">
        <v>69018.52</v>
      </c>
    </row>
    <row r="294" spans="1:4" x14ac:dyDescent="0.25">
      <c r="A294" s="18">
        <v>44489</v>
      </c>
      <c r="B294" s="2">
        <v>66994.720000000001</v>
      </c>
      <c r="C294" s="2">
        <v>4540.87</v>
      </c>
      <c r="D294" s="2">
        <v>71535.59</v>
      </c>
    </row>
    <row r="295" spans="1:4" x14ac:dyDescent="0.25">
      <c r="A295" s="18">
        <v>44490</v>
      </c>
      <c r="B295" s="2">
        <v>66643.14</v>
      </c>
      <c r="C295" s="2">
        <v>4551.4399999999996</v>
      </c>
      <c r="D295" s="2">
        <v>71194.58</v>
      </c>
    </row>
    <row r="296" spans="1:4" x14ac:dyDescent="0.25">
      <c r="A296" s="18">
        <v>44491</v>
      </c>
      <c r="B296" s="2">
        <v>63745.62</v>
      </c>
      <c r="C296" s="2">
        <v>4559.67</v>
      </c>
      <c r="D296" s="2">
        <v>68305.290000000008</v>
      </c>
    </row>
    <row r="297" spans="1:4" x14ac:dyDescent="0.25">
      <c r="A297" s="18">
        <v>44492</v>
      </c>
      <c r="B297" s="2">
        <v>61743.51</v>
      </c>
      <c r="C297" s="2"/>
      <c r="D297" s="2">
        <v>61743.51</v>
      </c>
    </row>
    <row r="298" spans="1:4" x14ac:dyDescent="0.25">
      <c r="A298" s="18">
        <v>44493</v>
      </c>
      <c r="B298" s="2">
        <v>62223.14</v>
      </c>
      <c r="C298" s="2"/>
      <c r="D298" s="2">
        <v>62223.14</v>
      </c>
    </row>
    <row r="299" spans="1:4" x14ac:dyDescent="0.25">
      <c r="A299" s="18">
        <v>44494</v>
      </c>
      <c r="B299" s="2">
        <v>63703.3</v>
      </c>
      <c r="C299" s="2">
        <v>4572.62</v>
      </c>
      <c r="D299" s="2">
        <v>68275.92</v>
      </c>
    </row>
    <row r="300" spans="1:4" x14ac:dyDescent="0.25">
      <c r="A300" s="18">
        <v>44495</v>
      </c>
      <c r="B300" s="2">
        <v>63102.8</v>
      </c>
      <c r="C300" s="2">
        <v>4598.53</v>
      </c>
      <c r="D300" s="2">
        <v>67701.33</v>
      </c>
    </row>
    <row r="301" spans="1:4" x14ac:dyDescent="0.25">
      <c r="A301" s="18">
        <v>44496</v>
      </c>
      <c r="B301" s="2">
        <v>61500</v>
      </c>
      <c r="C301" s="2">
        <v>4584.57</v>
      </c>
      <c r="D301" s="2">
        <v>66084.570000000007</v>
      </c>
    </row>
    <row r="302" spans="1:4" x14ac:dyDescent="0.25">
      <c r="A302" s="18">
        <v>44497</v>
      </c>
      <c r="B302" s="2">
        <v>62508.87</v>
      </c>
      <c r="C302" s="2">
        <v>4597.55</v>
      </c>
      <c r="D302" s="2">
        <v>67106.42</v>
      </c>
    </row>
    <row r="303" spans="1:4" x14ac:dyDescent="0.25">
      <c r="A303" s="18">
        <v>44498</v>
      </c>
      <c r="B303" s="2">
        <v>62978</v>
      </c>
      <c r="C303" s="2">
        <v>4608.08</v>
      </c>
      <c r="D303" s="2">
        <v>67586.080000000002</v>
      </c>
    </row>
    <row r="304" spans="1:4" x14ac:dyDescent="0.25">
      <c r="A304" s="18">
        <v>44499</v>
      </c>
      <c r="B304" s="2">
        <v>62487.97</v>
      </c>
      <c r="C304" s="2"/>
      <c r="D304" s="2">
        <v>62487.97</v>
      </c>
    </row>
    <row r="305" spans="1:4" x14ac:dyDescent="0.25">
      <c r="A305" s="18">
        <v>44500</v>
      </c>
      <c r="B305" s="2">
        <v>61768</v>
      </c>
      <c r="C305" s="2"/>
      <c r="D305" s="2">
        <v>61768</v>
      </c>
    </row>
    <row r="306" spans="1:4" x14ac:dyDescent="0.25">
      <c r="A306" s="18">
        <v>44501</v>
      </c>
      <c r="B306" s="2">
        <v>62490</v>
      </c>
      <c r="C306" s="2">
        <v>4620.34</v>
      </c>
      <c r="D306" s="2">
        <v>67110.34</v>
      </c>
    </row>
    <row r="307" spans="1:4" x14ac:dyDescent="0.25">
      <c r="A307" s="18">
        <v>44502</v>
      </c>
      <c r="B307" s="2">
        <v>64319</v>
      </c>
      <c r="C307" s="2">
        <v>4635.1499999999996</v>
      </c>
      <c r="D307" s="2">
        <v>68954.149999999994</v>
      </c>
    </row>
    <row r="308" spans="1:4" x14ac:dyDescent="0.25">
      <c r="A308" s="18">
        <v>44503</v>
      </c>
      <c r="B308" s="2">
        <v>63547.54</v>
      </c>
      <c r="C308" s="2">
        <v>4663.46</v>
      </c>
      <c r="D308" s="2">
        <v>68211</v>
      </c>
    </row>
    <row r="309" spans="1:4" x14ac:dyDescent="0.25">
      <c r="A309" s="18">
        <v>44504</v>
      </c>
      <c r="B309" s="2">
        <v>62858.83</v>
      </c>
      <c r="C309" s="2">
        <v>4683</v>
      </c>
      <c r="D309" s="2">
        <v>67541.83</v>
      </c>
    </row>
    <row r="310" spans="1:4" x14ac:dyDescent="0.25">
      <c r="A310" s="18">
        <v>44505</v>
      </c>
      <c r="B310" s="2">
        <v>64000</v>
      </c>
      <c r="C310" s="2">
        <v>4718.5</v>
      </c>
      <c r="D310" s="2">
        <v>68718.5</v>
      </c>
    </row>
    <row r="311" spans="1:4" x14ac:dyDescent="0.25">
      <c r="A311" s="18">
        <v>44506</v>
      </c>
      <c r="B311" s="2">
        <v>62338.16</v>
      </c>
      <c r="C311" s="2"/>
      <c r="D311" s="2">
        <v>62338.16</v>
      </c>
    </row>
    <row r="312" spans="1:4" x14ac:dyDescent="0.25">
      <c r="A312" s="18">
        <v>44507</v>
      </c>
      <c r="B312" s="2">
        <v>65680</v>
      </c>
      <c r="C312" s="2"/>
      <c r="D312" s="2">
        <v>65680</v>
      </c>
    </row>
    <row r="313" spans="1:4" x14ac:dyDescent="0.25">
      <c r="A313" s="18">
        <v>44508</v>
      </c>
      <c r="B313" s="2">
        <v>68534.11</v>
      </c>
      <c r="C313" s="2">
        <v>4714.92</v>
      </c>
      <c r="D313" s="2">
        <v>73249.03</v>
      </c>
    </row>
    <row r="314" spans="1:4" x14ac:dyDescent="0.25">
      <c r="A314" s="18">
        <v>44509</v>
      </c>
      <c r="B314" s="2">
        <v>68529.52</v>
      </c>
      <c r="C314" s="2">
        <v>4708.53</v>
      </c>
      <c r="D314" s="2">
        <v>73238.05</v>
      </c>
    </row>
    <row r="315" spans="1:4" x14ac:dyDescent="0.25">
      <c r="A315" s="18">
        <v>44510</v>
      </c>
      <c r="B315" s="2">
        <v>69000</v>
      </c>
      <c r="C315" s="2">
        <v>4684.8500000000004</v>
      </c>
      <c r="D315" s="2">
        <v>73684.850000000006</v>
      </c>
    </row>
    <row r="316" spans="1:4" x14ac:dyDescent="0.25">
      <c r="A316" s="18">
        <v>44511</v>
      </c>
      <c r="B316" s="2">
        <v>65587</v>
      </c>
      <c r="C316" s="2">
        <v>4664.55</v>
      </c>
      <c r="D316" s="2">
        <v>70251.55</v>
      </c>
    </row>
    <row r="317" spans="1:4" x14ac:dyDescent="0.25">
      <c r="A317" s="18">
        <v>44512</v>
      </c>
      <c r="B317" s="2">
        <v>65071.49</v>
      </c>
      <c r="C317" s="2">
        <v>4688.47</v>
      </c>
      <c r="D317" s="2">
        <v>69759.959999999992</v>
      </c>
    </row>
    <row r="318" spans="1:4" x14ac:dyDescent="0.25">
      <c r="A318" s="18">
        <v>44513</v>
      </c>
      <c r="B318" s="2">
        <v>65338.87</v>
      </c>
      <c r="C318" s="2"/>
      <c r="D318" s="2">
        <v>65338.87</v>
      </c>
    </row>
    <row r="319" spans="1:4" x14ac:dyDescent="0.25">
      <c r="A319" s="18">
        <v>44514</v>
      </c>
      <c r="B319" s="2">
        <v>66200</v>
      </c>
      <c r="C319" s="2"/>
      <c r="D319" s="2">
        <v>66200</v>
      </c>
    </row>
    <row r="320" spans="1:4" x14ac:dyDescent="0.25">
      <c r="A320" s="18">
        <v>44515</v>
      </c>
      <c r="B320" s="2">
        <v>66340.740000000005</v>
      </c>
      <c r="C320" s="2">
        <v>4697.42</v>
      </c>
      <c r="D320" s="2">
        <v>71038.16</v>
      </c>
    </row>
    <row r="321" spans="1:4" x14ac:dyDescent="0.25">
      <c r="A321" s="18">
        <v>44516</v>
      </c>
      <c r="B321" s="2">
        <v>61558.53</v>
      </c>
      <c r="C321" s="2">
        <v>4714.95</v>
      </c>
      <c r="D321" s="2">
        <v>66273.48</v>
      </c>
    </row>
    <row r="322" spans="1:4" x14ac:dyDescent="0.25">
      <c r="A322" s="18">
        <v>44517</v>
      </c>
      <c r="B322" s="2">
        <v>60976.25</v>
      </c>
      <c r="C322" s="2">
        <v>4701.5</v>
      </c>
      <c r="D322" s="2">
        <v>65677.75</v>
      </c>
    </row>
    <row r="323" spans="1:4" x14ac:dyDescent="0.25">
      <c r="A323" s="18">
        <v>44518</v>
      </c>
      <c r="B323" s="2">
        <v>60106.3</v>
      </c>
      <c r="C323" s="2">
        <v>4708.8</v>
      </c>
      <c r="D323" s="2">
        <v>64815.100000000006</v>
      </c>
    </row>
    <row r="324" spans="1:4" x14ac:dyDescent="0.25">
      <c r="A324" s="18">
        <v>44519</v>
      </c>
      <c r="B324" s="2">
        <v>59042</v>
      </c>
      <c r="C324" s="2">
        <v>4717.75</v>
      </c>
      <c r="D324" s="2">
        <v>63759.75</v>
      </c>
    </row>
    <row r="325" spans="1:4" x14ac:dyDescent="0.25">
      <c r="A325" s="18">
        <v>44520</v>
      </c>
      <c r="B325" s="2">
        <v>59886.11</v>
      </c>
      <c r="C325" s="2"/>
      <c r="D325" s="2">
        <v>59886.11</v>
      </c>
    </row>
    <row r="326" spans="1:4" x14ac:dyDescent="0.25">
      <c r="A326" s="18">
        <v>44521</v>
      </c>
      <c r="B326" s="2">
        <v>60061.89</v>
      </c>
      <c r="C326" s="2"/>
      <c r="D326" s="2">
        <v>60061.89</v>
      </c>
    </row>
    <row r="327" spans="1:4" x14ac:dyDescent="0.25">
      <c r="A327" s="18">
        <v>44522</v>
      </c>
      <c r="B327" s="2">
        <v>59581.52</v>
      </c>
      <c r="C327" s="2">
        <v>4743.83</v>
      </c>
      <c r="D327" s="2">
        <v>64325.35</v>
      </c>
    </row>
    <row r="328" spans="1:4" x14ac:dyDescent="0.25">
      <c r="A328" s="18">
        <v>44523</v>
      </c>
      <c r="B328" s="2">
        <v>57882.26</v>
      </c>
      <c r="C328" s="2">
        <v>4699.3900000000003</v>
      </c>
      <c r="D328" s="2">
        <v>62581.65</v>
      </c>
    </row>
    <row r="329" spans="1:4" x14ac:dyDescent="0.25">
      <c r="A329" s="18">
        <v>44524</v>
      </c>
      <c r="B329" s="2">
        <v>58276.58</v>
      </c>
      <c r="C329" s="2">
        <v>4702.87</v>
      </c>
      <c r="D329" s="2">
        <v>62979.450000000004</v>
      </c>
    </row>
    <row r="330" spans="1:4" x14ac:dyDescent="0.25">
      <c r="A330" s="18">
        <v>44525</v>
      </c>
      <c r="B330" s="2">
        <v>59476.65</v>
      </c>
      <c r="C330" s="2"/>
      <c r="D330" s="2">
        <v>59476.65</v>
      </c>
    </row>
    <row r="331" spans="1:4" x14ac:dyDescent="0.25">
      <c r="A331" s="18">
        <v>44526</v>
      </c>
      <c r="B331" s="2">
        <v>58043.76</v>
      </c>
      <c r="C331" s="2">
        <v>4664.63</v>
      </c>
      <c r="D331" s="2">
        <v>62708.39</v>
      </c>
    </row>
    <row r="332" spans="1:4" x14ac:dyDescent="0.25">
      <c r="A332" s="18">
        <v>44527</v>
      </c>
      <c r="B332" s="2">
        <v>55320.800000000003</v>
      </c>
      <c r="C332" s="2"/>
      <c r="D332" s="2">
        <v>55320.800000000003</v>
      </c>
    </row>
    <row r="333" spans="1:4" x14ac:dyDescent="0.25">
      <c r="A333" s="18">
        <v>44528</v>
      </c>
      <c r="B333" s="2">
        <v>58265.2</v>
      </c>
      <c r="C333" s="2"/>
      <c r="D333" s="2">
        <v>58265.2</v>
      </c>
    </row>
    <row r="334" spans="1:4" x14ac:dyDescent="0.25">
      <c r="A334" s="18">
        <v>44529</v>
      </c>
      <c r="B334" s="2">
        <v>58903.31</v>
      </c>
      <c r="C334" s="2">
        <v>4672.95</v>
      </c>
      <c r="D334" s="2">
        <v>63576.259999999995</v>
      </c>
    </row>
    <row r="335" spans="1:4" x14ac:dyDescent="0.25">
      <c r="A335" s="18">
        <v>44530</v>
      </c>
      <c r="B335" s="2">
        <v>59226.98</v>
      </c>
      <c r="C335" s="2">
        <v>4646.0200000000004</v>
      </c>
      <c r="D335" s="2">
        <v>63873</v>
      </c>
    </row>
    <row r="336" spans="1:4" x14ac:dyDescent="0.25">
      <c r="A336" s="18">
        <v>44531</v>
      </c>
      <c r="B336" s="2">
        <v>59105.91</v>
      </c>
      <c r="C336" s="2">
        <v>4652.9399999999996</v>
      </c>
      <c r="D336" s="2">
        <v>63758.850000000006</v>
      </c>
    </row>
    <row r="337" spans="1:4" x14ac:dyDescent="0.25">
      <c r="A337" s="18">
        <v>44532</v>
      </c>
      <c r="B337" s="2">
        <v>57277.919999999998</v>
      </c>
      <c r="C337" s="2">
        <v>4595.46</v>
      </c>
      <c r="D337" s="2">
        <v>61873.38</v>
      </c>
    </row>
    <row r="338" spans="1:4" x14ac:dyDescent="0.25">
      <c r="A338" s="18">
        <v>44533</v>
      </c>
      <c r="B338" s="2">
        <v>57673.58</v>
      </c>
      <c r="C338" s="2">
        <v>4608.03</v>
      </c>
      <c r="D338" s="2">
        <v>62281.61</v>
      </c>
    </row>
    <row r="339" spans="1:4" x14ac:dyDescent="0.25">
      <c r="A339" s="18">
        <v>44534</v>
      </c>
      <c r="B339" s="2">
        <v>52644.42</v>
      </c>
      <c r="C339" s="2"/>
      <c r="D339" s="2">
        <v>52644.42</v>
      </c>
    </row>
    <row r="340" spans="1:4" x14ac:dyDescent="0.25">
      <c r="A340" s="18">
        <v>44535</v>
      </c>
      <c r="B340" s="2">
        <v>49786.95</v>
      </c>
      <c r="C340" s="2"/>
      <c r="D340" s="2">
        <v>49786.95</v>
      </c>
    </row>
    <row r="341" spans="1:4" x14ac:dyDescent="0.25">
      <c r="A341" s="18">
        <v>44536</v>
      </c>
      <c r="B341" s="2">
        <v>51481.04</v>
      </c>
      <c r="C341" s="2">
        <v>4612.6000000000004</v>
      </c>
      <c r="D341" s="2">
        <v>56093.64</v>
      </c>
    </row>
    <row r="342" spans="1:4" x14ac:dyDescent="0.25">
      <c r="A342" s="18">
        <v>44537</v>
      </c>
      <c r="B342" s="2">
        <v>51982.66</v>
      </c>
      <c r="C342" s="2">
        <v>4694.04</v>
      </c>
      <c r="D342" s="2">
        <v>56676.700000000004</v>
      </c>
    </row>
    <row r="343" spans="1:4" x14ac:dyDescent="0.25">
      <c r="A343" s="18">
        <v>44538</v>
      </c>
      <c r="B343" s="2">
        <v>51269.82</v>
      </c>
      <c r="C343" s="2">
        <v>4705.0600000000004</v>
      </c>
      <c r="D343" s="2">
        <v>55974.879999999997</v>
      </c>
    </row>
    <row r="344" spans="1:4" x14ac:dyDescent="0.25">
      <c r="A344" s="18">
        <v>44539</v>
      </c>
      <c r="B344" s="2">
        <v>50362.35</v>
      </c>
      <c r="C344" s="2">
        <v>4695.26</v>
      </c>
      <c r="D344" s="2">
        <v>55057.61</v>
      </c>
    </row>
    <row r="345" spans="1:4" x14ac:dyDescent="0.25">
      <c r="A345" s="18">
        <v>44540</v>
      </c>
      <c r="B345" s="2">
        <v>49243</v>
      </c>
      <c r="C345" s="2">
        <v>4713.57</v>
      </c>
      <c r="D345" s="2">
        <v>53956.57</v>
      </c>
    </row>
    <row r="346" spans="1:4" x14ac:dyDescent="0.25">
      <c r="A346" s="18">
        <v>44541</v>
      </c>
      <c r="B346" s="2">
        <v>49699.99</v>
      </c>
      <c r="C346" s="2"/>
      <c r="D346" s="2">
        <v>49699.99</v>
      </c>
    </row>
    <row r="347" spans="1:4" x14ac:dyDescent="0.25">
      <c r="A347" s="18">
        <v>44542</v>
      </c>
      <c r="B347" s="2">
        <v>50808.480000000003</v>
      </c>
      <c r="C347" s="2"/>
      <c r="D347" s="2">
        <v>50808.480000000003</v>
      </c>
    </row>
    <row r="348" spans="1:4" x14ac:dyDescent="0.25">
      <c r="A348" s="18">
        <v>44543</v>
      </c>
      <c r="B348" s="2">
        <v>49348.69</v>
      </c>
      <c r="C348" s="2">
        <v>4710.3</v>
      </c>
      <c r="D348" s="2">
        <v>54058.990000000005</v>
      </c>
    </row>
    <row r="349" spans="1:4" x14ac:dyDescent="0.25">
      <c r="A349" s="18">
        <v>44544</v>
      </c>
      <c r="B349" s="2">
        <v>48784.28</v>
      </c>
      <c r="C349" s="2">
        <v>4660.47</v>
      </c>
      <c r="D349" s="2">
        <v>53444.75</v>
      </c>
    </row>
    <row r="350" spans="1:4" x14ac:dyDescent="0.25">
      <c r="A350" s="18">
        <v>44545</v>
      </c>
      <c r="B350" s="2">
        <v>49500</v>
      </c>
      <c r="C350" s="2">
        <v>4712.6000000000004</v>
      </c>
      <c r="D350" s="2">
        <v>54212.6</v>
      </c>
    </row>
    <row r="351" spans="1:4" x14ac:dyDescent="0.25">
      <c r="A351" s="18">
        <v>44546</v>
      </c>
      <c r="B351" s="2">
        <v>49466.29</v>
      </c>
      <c r="C351" s="2">
        <v>4731.99</v>
      </c>
      <c r="D351" s="2">
        <v>54198.28</v>
      </c>
    </row>
    <row r="352" spans="1:4" x14ac:dyDescent="0.25">
      <c r="A352" s="18">
        <v>44547</v>
      </c>
      <c r="B352" s="2">
        <v>48194.13</v>
      </c>
      <c r="C352" s="2">
        <v>4666.7</v>
      </c>
      <c r="D352" s="2">
        <v>52860.829999999994</v>
      </c>
    </row>
    <row r="353" spans="1:4" x14ac:dyDescent="0.25">
      <c r="A353" s="18">
        <v>44548</v>
      </c>
      <c r="B353" s="2">
        <v>47980.93</v>
      </c>
      <c r="C353" s="2"/>
      <c r="D353" s="2">
        <v>47980.93</v>
      </c>
    </row>
    <row r="354" spans="1:4" x14ac:dyDescent="0.25">
      <c r="A354" s="18">
        <v>44549</v>
      </c>
      <c r="B354" s="2">
        <v>48306.22</v>
      </c>
      <c r="C354" s="2"/>
      <c r="D354" s="2">
        <v>48306.22</v>
      </c>
    </row>
    <row r="355" spans="1:4" x14ac:dyDescent="0.25">
      <c r="A355" s="18">
        <v>44550</v>
      </c>
      <c r="B355" s="2">
        <v>48082.61</v>
      </c>
      <c r="C355" s="2">
        <v>4587.8999999999996</v>
      </c>
      <c r="D355" s="2">
        <v>52670.51</v>
      </c>
    </row>
    <row r="356" spans="1:4" x14ac:dyDescent="0.25">
      <c r="A356" s="18">
        <v>44551</v>
      </c>
      <c r="B356" s="2">
        <v>49598.11</v>
      </c>
      <c r="C356" s="2">
        <v>4651.1400000000003</v>
      </c>
      <c r="D356" s="2">
        <v>54249.25</v>
      </c>
    </row>
    <row r="357" spans="1:4" x14ac:dyDescent="0.25">
      <c r="A357" s="18">
        <v>44552</v>
      </c>
      <c r="B357" s="2">
        <v>49548.86</v>
      </c>
      <c r="C357" s="2">
        <v>4697.67</v>
      </c>
      <c r="D357" s="2">
        <v>54246.53</v>
      </c>
    </row>
    <row r="358" spans="1:4" x14ac:dyDescent="0.25">
      <c r="A358" s="18">
        <v>44553</v>
      </c>
      <c r="B358" s="2">
        <v>51533.71</v>
      </c>
      <c r="C358" s="2">
        <v>4740.74</v>
      </c>
      <c r="D358" s="2">
        <v>56274.45</v>
      </c>
    </row>
    <row r="359" spans="1:4" x14ac:dyDescent="0.25">
      <c r="A359" s="18">
        <v>44554</v>
      </c>
      <c r="B359" s="2">
        <v>51866.86</v>
      </c>
      <c r="C359" s="2"/>
      <c r="D359" s="2">
        <v>51866.86</v>
      </c>
    </row>
    <row r="360" spans="1:4" x14ac:dyDescent="0.25">
      <c r="A360" s="18">
        <v>44555</v>
      </c>
      <c r="B360" s="2">
        <v>51156.95</v>
      </c>
      <c r="C360" s="2"/>
      <c r="D360" s="2">
        <v>51156.95</v>
      </c>
    </row>
    <row r="361" spans="1:4" x14ac:dyDescent="0.25">
      <c r="A361" s="18">
        <v>44556</v>
      </c>
      <c r="B361" s="2">
        <v>51294.26</v>
      </c>
      <c r="C361" s="2"/>
      <c r="D361" s="2">
        <v>51294.26</v>
      </c>
    </row>
    <row r="362" spans="1:4" x14ac:dyDescent="0.25">
      <c r="A362" s="18">
        <v>44557</v>
      </c>
      <c r="B362" s="2">
        <v>52104.93</v>
      </c>
      <c r="C362" s="2">
        <v>4791.49</v>
      </c>
      <c r="D362" s="2">
        <v>56896.42</v>
      </c>
    </row>
    <row r="363" spans="1:4" x14ac:dyDescent="0.25">
      <c r="A363" s="18">
        <v>44558</v>
      </c>
      <c r="B363" s="2">
        <v>49834.68</v>
      </c>
      <c r="C363" s="2">
        <v>4807.0200000000004</v>
      </c>
      <c r="D363" s="2">
        <v>54641.7</v>
      </c>
    </row>
    <row r="364" spans="1:4" x14ac:dyDescent="0.25">
      <c r="A364" s="18">
        <v>44559</v>
      </c>
      <c r="B364" s="2">
        <v>48075.97</v>
      </c>
      <c r="C364" s="2">
        <v>4804.0600000000004</v>
      </c>
      <c r="D364" s="2">
        <v>52880.03</v>
      </c>
    </row>
    <row r="365" spans="1:4" x14ac:dyDescent="0.25">
      <c r="A365" s="18">
        <v>44560</v>
      </c>
      <c r="B365" s="2">
        <v>47949.3</v>
      </c>
      <c r="C365" s="2">
        <v>4808.93</v>
      </c>
      <c r="D365" s="2">
        <v>52758.23</v>
      </c>
    </row>
    <row r="366" spans="1:4" x14ac:dyDescent="0.25">
      <c r="A366" s="18">
        <v>44561</v>
      </c>
      <c r="B366" s="2">
        <v>48578.35</v>
      </c>
      <c r="C366" s="2">
        <v>4786.83</v>
      </c>
      <c r="D366" s="2">
        <v>53365.18</v>
      </c>
    </row>
    <row r="367" spans="1:4" x14ac:dyDescent="0.25">
      <c r="A367" s="17" t="s">
        <v>40</v>
      </c>
      <c r="B367" s="2">
        <v>17612806.860000007</v>
      </c>
      <c r="C367" s="2">
        <v>1081553.1499999999</v>
      </c>
      <c r="D367" s="2">
        <v>18694360.009999998</v>
      </c>
    </row>
  </sheetData>
  <mergeCells count="1">
    <mergeCell ref="F2:L3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86363-9F70-4381-B438-5A720E367A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Upside</vt:lpstr>
      <vt:lpstr>Spread</vt:lpstr>
      <vt:lpstr>Monthly Average</vt:lpstr>
      <vt:lpstr>Daily 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hp 840</cp:lastModifiedBy>
  <cp:lastPrinted>2026-02-16T15:53:42Z</cp:lastPrinted>
  <dcterms:created xsi:type="dcterms:W3CDTF">2022-06-23T16:38:40Z</dcterms:created>
  <dcterms:modified xsi:type="dcterms:W3CDTF">2026-02-16T17:09:14Z</dcterms:modified>
</cp:coreProperties>
</file>